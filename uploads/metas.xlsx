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5" sheetId="1" r:id="rId4"/>
    <sheet state="visible" name="FEV25" sheetId="2" r:id="rId5"/>
    <sheet state="visible" name="MAR25" sheetId="3" r:id="rId6"/>
    <sheet state="visible" name="ABR25" sheetId="4" r:id="rId7"/>
    <sheet state="visible" name="MAI25" sheetId="5" r:id="rId8"/>
    <sheet state="visible" name="JUN25" sheetId="6" r:id="rId9"/>
    <sheet state="visible" name="JUL25" sheetId="7" r:id="rId10"/>
    <sheet state="visible" name="AGO25" sheetId="8" r:id="rId11"/>
    <sheet state="visible" name="SET25" sheetId="9" r:id="rId12"/>
    <sheet state="visible" name="OUT25" sheetId="10" r:id="rId13"/>
    <sheet state="visible" name="NOV25" sheetId="11" r:id="rId14"/>
    <sheet state="visible" name="DEZ25" sheetId="12" r:id="rId15"/>
    <sheet state="visible" name="JAN26" sheetId="13" r:id="rId16"/>
    <sheet state="visible" name="FEV26" sheetId="14" r:id="rId17"/>
    <sheet state="visible" name="MAR26" sheetId="15" r:id="rId18"/>
    <sheet state="visible" name="ABR26" sheetId="16" r:id="rId19"/>
    <sheet state="visible" name="MAI26" sheetId="17" r:id="rId20"/>
    <sheet state="visible" name="JUN26" sheetId="18" r:id="rId21"/>
    <sheet state="visible" name="JUL26" sheetId="19" r:id="rId22"/>
    <sheet state="visible" name="AGO26" sheetId="20" r:id="rId23"/>
    <sheet state="visible" name="SET26" sheetId="21" r:id="rId24"/>
    <sheet state="visible" name="OUT26" sheetId="22" r:id="rId25"/>
    <sheet state="visible" name="NOV26" sheetId="23" r:id="rId26"/>
    <sheet state="visible" name="DEZ26" sheetId="24" r:id="rId27"/>
  </sheets>
  <definedNames/>
  <calcPr/>
  <extLst>
    <ext uri="GoogleSheetsCustomDataVersion2">
      <go:sheetsCustomData xmlns:go="http://customooxmlschemas.google.com/" r:id="rId28" roundtripDataChecksum="ghPCcQWgMgDOwYQvgpxis7GbByS9cLSN66TL0Uz7wk4="/>
    </ext>
  </extLst>
</workbook>
</file>

<file path=xl/sharedStrings.xml><?xml version="1.0" encoding="utf-8"?>
<sst xmlns="http://schemas.openxmlformats.org/spreadsheetml/2006/main" count="210" uniqueCount="14">
  <si>
    <t>Dia do mês</t>
  </si>
  <si>
    <t>Dias da semana</t>
  </si>
  <si>
    <t>Meta Salão</t>
  </si>
  <si>
    <t>Meta Delivery</t>
  </si>
  <si>
    <t>Meta Geral</t>
  </si>
  <si>
    <t>qui</t>
  </si>
  <si>
    <t>sex</t>
  </si>
  <si>
    <t>sáb</t>
  </si>
  <si>
    <t>dom</t>
  </si>
  <si>
    <t>seg</t>
  </si>
  <si>
    <t>ter</t>
  </si>
  <si>
    <t>qua</t>
  </si>
  <si>
    <t>sexta</t>
  </si>
  <si>
    <t>sab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</si>
</sst>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d/m/yy"/>
    <numFmt numFmtId="166" formatCode="[$R$]#,##0.00"/>
    <numFmt numFmtId="167" formatCode="[$R$ -416]#,##0.00"/>
  </numFmts>
  <fonts count="5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ptos Narrow"/>
    </font>
    <font>
      <sz val="8.0"/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CBC5"/>
        <bgColor rgb="FFF2CBC5"/>
      </patternFill>
    </fill>
    <fill>
      <patternFill patternType="solid">
        <fgColor rgb="FFFFFD78"/>
        <bgColor rgb="FFFFFD78"/>
      </patternFill>
    </fill>
    <fill>
      <patternFill patternType="solid">
        <fgColor rgb="FFE1E1E1"/>
        <bgColor rgb="FFE1E1E1"/>
      </patternFill>
    </fill>
    <fill>
      <patternFill patternType="solid">
        <fgColor rgb="FFF1CEEE"/>
        <bgColor rgb="FFF1CEE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EEEEEE"/>
      </top>
      <bottom style="thin">
        <color rgb="FFEEEEEE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1" fillId="2" fontId="1" numFmtId="165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2" numFmtId="164" xfId="0" applyAlignment="1" applyBorder="1" applyFont="1" applyNumberFormat="1">
      <alignment horizontal="right" vertical="bottom"/>
    </xf>
    <xf borderId="1" fillId="3" fontId="2" numFmtId="164" xfId="0" applyAlignment="1" applyBorder="1" applyFont="1" applyNumberFormat="1">
      <alignment horizontal="right" vertical="bottom"/>
    </xf>
    <xf borderId="2" fillId="4" fontId="3" numFmtId="166" xfId="0" applyAlignment="1" applyBorder="1" applyFill="1" applyFont="1" applyNumberFormat="1">
      <alignment horizontal="right" shrinkToFit="0" vertical="top" wrapText="1"/>
    </xf>
    <xf borderId="1" fillId="2" fontId="2" numFmtId="164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vertical="bottom"/>
    </xf>
    <xf borderId="1" fillId="2" fontId="2" numFmtId="166" xfId="0" applyBorder="1" applyFont="1" applyNumberFormat="1"/>
    <xf borderId="1" fillId="3" fontId="2" numFmtId="166" xfId="0" applyBorder="1" applyFont="1" applyNumberFormat="1"/>
    <xf borderId="0" fillId="5" fontId="4" numFmtId="167" xfId="0" applyFill="1" applyFont="1" applyNumberFormat="1"/>
    <xf borderId="1" fillId="2" fontId="2" numFmtId="0" xfId="0" applyAlignment="1" applyBorder="1" applyFont="1">
      <alignment vertical="bottom"/>
    </xf>
    <xf borderId="3" fillId="5" fontId="4" numFmtId="167" xfId="0" applyBorder="1" applyFont="1" applyNumberFormat="1"/>
    <xf borderId="1" fillId="2" fontId="2" numFmtId="165" xfId="0" applyAlignment="1" applyBorder="1" applyFont="1" applyNumberFormat="1">
      <alignment vertical="bottom"/>
    </xf>
    <xf borderId="1" fillId="2" fontId="2" numFmtId="164" xfId="0" applyBorder="1" applyFont="1" applyNumberFormat="1"/>
    <xf borderId="1" fillId="3" fontId="2" numFmtId="164" xfId="0" applyBorder="1" applyFont="1" applyNumberFormat="1"/>
    <xf borderId="1" fillId="2" fontId="1" numFmtId="164" xfId="0" applyBorder="1" applyFont="1" applyNumberFormat="1"/>
    <xf borderId="1" fillId="2" fontId="1" numFmtId="165" xfId="0" applyAlignment="1" applyBorder="1" applyFont="1" applyNumberFormat="1">
      <alignment horizontal="center"/>
    </xf>
    <xf borderId="1" fillId="3" fontId="1" numFmtId="164" xfId="0" applyBorder="1" applyFont="1" applyNumberFormat="1"/>
    <xf borderId="4" fillId="2" fontId="1" numFmtId="165" xfId="0" applyAlignment="1" applyBorder="1" applyFont="1" applyNumberFormat="1">
      <alignment horizontal="center"/>
    </xf>
    <xf borderId="4" fillId="2" fontId="1" numFmtId="0" xfId="0" applyAlignment="1" applyBorder="1" applyFont="1">
      <alignment horizontal="center"/>
    </xf>
    <xf borderId="4" fillId="2" fontId="1" numFmtId="164" xfId="0" applyBorder="1" applyFont="1" applyNumberFormat="1"/>
    <xf borderId="4" fillId="3" fontId="1" numFmtId="164" xfId="0" applyBorder="1" applyFont="1" applyNumberFormat="1"/>
    <xf borderId="5" fillId="2" fontId="1" numFmtId="165" xfId="0" applyAlignment="1" applyBorder="1" applyFont="1" applyNumberFormat="1">
      <alignment horizontal="center"/>
    </xf>
    <xf borderId="5" fillId="2" fontId="1" numFmtId="0" xfId="0" applyAlignment="1" applyBorder="1" applyFont="1">
      <alignment horizontal="center"/>
    </xf>
    <xf borderId="5" fillId="2" fontId="1" numFmtId="164" xfId="0" applyBorder="1" applyFont="1" applyNumberFormat="1"/>
    <xf borderId="5" fillId="3" fontId="1" numFmtId="164" xfId="0" applyBorder="1" applyFont="1" applyNumberFormat="1"/>
    <xf borderId="1" fillId="2" fontId="1" numFmtId="164" xfId="0" applyAlignment="1" applyBorder="1" applyFont="1" applyNumberFormat="1">
      <alignment horizontal="right" vertical="bottom"/>
    </xf>
    <xf borderId="1" fillId="3" fontId="1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8ED873"/>
          <bgColor rgb="FF8ED87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5">
        <v>45658.0</v>
      </c>
      <c r="D4" s="6" t="str">
        <f t="shared" ref="D4:D34" si="1">TEXT(C4,"ddd")</f>
        <v>qua.</v>
      </c>
      <c r="E4" s="7"/>
      <c r="F4" s="8"/>
      <c r="G4" s="9">
        <v>38042.47</v>
      </c>
    </row>
    <row r="5" ht="15.75" customHeight="1">
      <c r="A5" s="1"/>
      <c r="B5" s="1"/>
      <c r="C5" s="5">
        <v>45659.0</v>
      </c>
      <c r="D5" s="6" t="str">
        <f t="shared" si="1"/>
        <v>qui.</v>
      </c>
      <c r="E5" s="7"/>
      <c r="F5" s="8"/>
      <c r="G5" s="9">
        <v>16543.04</v>
      </c>
    </row>
    <row r="6" ht="15.75" customHeight="1">
      <c r="A6" s="1"/>
      <c r="B6" s="1"/>
      <c r="C6" s="5">
        <v>45660.0</v>
      </c>
      <c r="D6" s="6" t="str">
        <f t="shared" si="1"/>
        <v>sex.</v>
      </c>
      <c r="E6" s="7"/>
      <c r="F6" s="8"/>
      <c r="G6" s="9">
        <v>21856.52</v>
      </c>
    </row>
    <row r="7" ht="15.75" customHeight="1">
      <c r="A7" s="1"/>
      <c r="B7" s="1"/>
      <c r="C7" s="5">
        <v>45661.0</v>
      </c>
      <c r="D7" s="6" t="str">
        <f t="shared" si="1"/>
        <v>sáb.</v>
      </c>
      <c r="E7" s="7"/>
      <c r="F7" s="8"/>
      <c r="G7" s="9">
        <v>30565.22</v>
      </c>
    </row>
    <row r="8" ht="15.75" customHeight="1">
      <c r="A8" s="1"/>
      <c r="B8" s="1"/>
      <c r="C8" s="5">
        <v>45662.0</v>
      </c>
      <c r="D8" s="6" t="str">
        <f t="shared" si="1"/>
        <v>dom.</v>
      </c>
      <c r="E8" s="7"/>
      <c r="F8" s="8"/>
      <c r="G8" s="9">
        <v>45523.64</v>
      </c>
    </row>
    <row r="9" ht="15.75" customHeight="1">
      <c r="A9" s="1"/>
      <c r="B9" s="1"/>
      <c r="C9" s="5">
        <v>45663.0</v>
      </c>
      <c r="D9" s="6" t="str">
        <f t="shared" si="1"/>
        <v>seg.</v>
      </c>
      <c r="E9" s="7"/>
      <c r="F9" s="8"/>
      <c r="G9" s="9">
        <v>15773.9</v>
      </c>
    </row>
    <row r="10" ht="15.75" customHeight="1">
      <c r="A10" s="1"/>
      <c r="B10" s="1"/>
      <c r="C10" s="5">
        <v>45664.0</v>
      </c>
      <c r="D10" s="6" t="str">
        <f t="shared" si="1"/>
        <v>ter.</v>
      </c>
      <c r="E10" s="7"/>
      <c r="F10" s="8"/>
      <c r="G10" s="9">
        <v>13412.12</v>
      </c>
    </row>
    <row r="11" ht="15.75" customHeight="1">
      <c r="A11" s="1"/>
      <c r="B11" s="1"/>
      <c r="C11" s="5">
        <v>45665.0</v>
      </c>
      <c r="D11" s="6" t="str">
        <f t="shared" si="1"/>
        <v>qua.</v>
      </c>
      <c r="E11" s="7"/>
      <c r="F11" s="8"/>
      <c r="G11" s="9">
        <v>15152.89</v>
      </c>
    </row>
    <row r="12" ht="15.75" customHeight="1">
      <c r="A12" s="1"/>
      <c r="B12" s="1"/>
      <c r="C12" s="5">
        <v>45666.0</v>
      </c>
      <c r="D12" s="6" t="str">
        <f t="shared" si="1"/>
        <v>qui.</v>
      </c>
      <c r="E12" s="7"/>
      <c r="F12" s="8"/>
      <c r="G12" s="9">
        <v>13250.48</v>
      </c>
    </row>
    <row r="13" ht="15.75" customHeight="1">
      <c r="A13" s="1"/>
      <c r="B13" s="1"/>
      <c r="C13" s="5">
        <v>45667.0</v>
      </c>
      <c r="D13" s="6" t="str">
        <f t="shared" si="1"/>
        <v>sex.</v>
      </c>
      <c r="E13" s="7"/>
      <c r="F13" s="8"/>
      <c r="G13" s="9">
        <v>17489.82</v>
      </c>
    </row>
    <row r="14" ht="15.75" customHeight="1">
      <c r="A14" s="1"/>
      <c r="B14" s="1"/>
      <c r="C14" s="5">
        <v>45668.0</v>
      </c>
      <c r="D14" s="6" t="str">
        <f t="shared" si="1"/>
        <v>sáb.</v>
      </c>
      <c r="E14" s="7"/>
      <c r="F14" s="8"/>
      <c r="G14" s="9">
        <v>33219.52</v>
      </c>
    </row>
    <row r="15" ht="15.75" customHeight="1">
      <c r="A15" s="1"/>
      <c r="B15" s="1"/>
      <c r="C15" s="5">
        <v>45669.0</v>
      </c>
      <c r="D15" s="6" t="str">
        <f t="shared" si="1"/>
        <v>dom.</v>
      </c>
      <c r="E15" s="7"/>
      <c r="F15" s="8"/>
      <c r="G15" s="9">
        <v>39667.06</v>
      </c>
    </row>
    <row r="16" ht="15.75" customHeight="1">
      <c r="A16" s="1"/>
      <c r="B16" s="1"/>
      <c r="C16" s="5">
        <v>45670.0</v>
      </c>
      <c r="D16" s="6" t="str">
        <f t="shared" si="1"/>
        <v>seg.</v>
      </c>
      <c r="E16" s="7"/>
      <c r="F16" s="8"/>
      <c r="G16" s="9">
        <v>9957.67</v>
      </c>
    </row>
    <row r="17" ht="15.75" customHeight="1">
      <c r="A17" s="1"/>
      <c r="B17" s="1"/>
      <c r="C17" s="5">
        <v>45671.0</v>
      </c>
      <c r="D17" s="6" t="str">
        <f t="shared" si="1"/>
        <v>ter.</v>
      </c>
      <c r="E17" s="7"/>
      <c r="F17" s="8"/>
      <c r="G17" s="9">
        <v>9126.63</v>
      </c>
    </row>
    <row r="18" ht="15.75" customHeight="1">
      <c r="A18" s="1"/>
      <c r="B18" s="1"/>
      <c r="C18" s="5">
        <v>45672.0</v>
      </c>
      <c r="D18" s="6" t="str">
        <f t="shared" si="1"/>
        <v>qua.</v>
      </c>
      <c r="E18" s="7"/>
      <c r="F18" s="8"/>
      <c r="G18" s="9">
        <v>9928.05</v>
      </c>
    </row>
    <row r="19" ht="15.75" customHeight="1">
      <c r="A19" s="1"/>
      <c r="B19" s="1"/>
      <c r="C19" s="5">
        <v>45673.0</v>
      </c>
      <c r="D19" s="6" t="str">
        <f t="shared" si="1"/>
        <v>qui.</v>
      </c>
      <c r="E19" s="7"/>
      <c r="F19" s="8"/>
      <c r="G19" s="9">
        <v>7912.75</v>
      </c>
    </row>
    <row r="20" ht="15.75" customHeight="1">
      <c r="A20" s="1"/>
      <c r="B20" s="1"/>
      <c r="C20" s="5">
        <v>45674.0</v>
      </c>
      <c r="D20" s="6" t="str">
        <f t="shared" si="1"/>
        <v>sex.</v>
      </c>
      <c r="E20" s="7"/>
      <c r="F20" s="8"/>
      <c r="G20" s="9">
        <v>19116.53</v>
      </c>
    </row>
    <row r="21" ht="15.75" customHeight="1">
      <c r="A21" s="1"/>
      <c r="B21" s="1"/>
      <c r="C21" s="5">
        <v>45675.0</v>
      </c>
      <c r="D21" s="6" t="str">
        <f t="shared" si="1"/>
        <v>sáb.</v>
      </c>
      <c r="E21" s="7"/>
      <c r="F21" s="8"/>
      <c r="G21" s="9">
        <v>30788.6</v>
      </c>
    </row>
    <row r="22" ht="15.75" customHeight="1">
      <c r="A22" s="1"/>
      <c r="B22" s="1"/>
      <c r="C22" s="5">
        <v>45676.0</v>
      </c>
      <c r="D22" s="6" t="str">
        <f t="shared" si="1"/>
        <v>dom.</v>
      </c>
      <c r="E22" s="7"/>
      <c r="F22" s="8"/>
      <c r="G22" s="9">
        <v>43647.54</v>
      </c>
    </row>
    <row r="23" ht="15.75" customHeight="1">
      <c r="A23" s="1"/>
      <c r="B23" s="1"/>
      <c r="C23" s="5">
        <v>45677.0</v>
      </c>
      <c r="D23" s="6" t="str">
        <f t="shared" si="1"/>
        <v>seg.</v>
      </c>
      <c r="E23" s="7"/>
      <c r="F23" s="8"/>
      <c r="G23" s="9">
        <v>10382.24</v>
      </c>
    </row>
    <row r="24" ht="15.75" customHeight="1">
      <c r="A24" s="1"/>
      <c r="B24" s="1"/>
      <c r="C24" s="5">
        <v>45678.0</v>
      </c>
      <c r="D24" s="6" t="str">
        <f t="shared" si="1"/>
        <v>ter.</v>
      </c>
      <c r="E24" s="7"/>
      <c r="F24" s="8"/>
      <c r="G24" s="9">
        <v>8675.36</v>
      </c>
    </row>
    <row r="25" ht="15.75" customHeight="1">
      <c r="A25" s="1"/>
      <c r="B25" s="1"/>
      <c r="C25" s="5">
        <v>45679.0</v>
      </c>
      <c r="D25" s="6" t="str">
        <f t="shared" si="1"/>
        <v>qua.</v>
      </c>
      <c r="E25" s="7"/>
      <c r="F25" s="8"/>
      <c r="G25" s="9">
        <v>9640.42</v>
      </c>
    </row>
    <row r="26" ht="15.75" customHeight="1">
      <c r="A26" s="1"/>
      <c r="B26" s="1"/>
      <c r="C26" s="5">
        <v>45680.0</v>
      </c>
      <c r="D26" s="6" t="str">
        <f t="shared" si="1"/>
        <v>qui.</v>
      </c>
      <c r="E26" s="7"/>
      <c r="F26" s="8"/>
      <c r="G26" s="9">
        <v>9334.38</v>
      </c>
    </row>
    <row r="27" ht="15.75" customHeight="1">
      <c r="A27" s="1"/>
      <c r="B27" s="1"/>
      <c r="C27" s="5">
        <v>45681.0</v>
      </c>
      <c r="D27" s="6" t="str">
        <f t="shared" si="1"/>
        <v>sex.</v>
      </c>
      <c r="E27" s="7"/>
      <c r="F27" s="8"/>
      <c r="G27" s="9">
        <v>20842.07</v>
      </c>
    </row>
    <row r="28" ht="15.75" customHeight="1">
      <c r="A28" s="1"/>
      <c r="B28" s="1"/>
      <c r="C28" s="5">
        <v>45682.0</v>
      </c>
      <c r="D28" s="6" t="str">
        <f t="shared" si="1"/>
        <v>sáb.</v>
      </c>
      <c r="E28" s="7"/>
      <c r="F28" s="8"/>
      <c r="G28" s="9">
        <v>31362.03</v>
      </c>
    </row>
    <row r="29" ht="15.75" customHeight="1">
      <c r="A29" s="1"/>
      <c r="B29" s="1"/>
      <c r="C29" s="5">
        <v>45683.0</v>
      </c>
      <c r="D29" s="6" t="str">
        <f t="shared" si="1"/>
        <v>dom.</v>
      </c>
      <c r="E29" s="7"/>
      <c r="F29" s="8"/>
      <c r="G29" s="9">
        <v>39459.91</v>
      </c>
    </row>
    <row r="30" ht="15.75" customHeight="1">
      <c r="A30" s="1"/>
      <c r="B30" s="1"/>
      <c r="C30" s="5">
        <v>45684.0</v>
      </c>
      <c r="D30" s="6" t="str">
        <f t="shared" si="1"/>
        <v>seg.</v>
      </c>
      <c r="E30" s="7"/>
      <c r="F30" s="8"/>
      <c r="G30" s="9">
        <v>6871.36</v>
      </c>
    </row>
    <row r="31" ht="15.75" customHeight="1">
      <c r="A31" s="1"/>
      <c r="B31" s="1"/>
      <c r="C31" s="5">
        <v>45685.0</v>
      </c>
      <c r="D31" s="6" t="str">
        <f t="shared" si="1"/>
        <v>ter.</v>
      </c>
      <c r="E31" s="7"/>
      <c r="F31" s="8"/>
      <c r="G31" s="9">
        <v>11702.46</v>
      </c>
    </row>
    <row r="32" ht="15.75" customHeight="1">
      <c r="A32" s="1"/>
      <c r="B32" s="1"/>
      <c r="C32" s="5">
        <v>45686.0</v>
      </c>
      <c r="D32" s="6" t="str">
        <f t="shared" si="1"/>
        <v>qua.</v>
      </c>
      <c r="E32" s="7"/>
      <c r="F32" s="8"/>
      <c r="G32" s="9">
        <v>10414.5</v>
      </c>
    </row>
    <row r="33" ht="15.75" customHeight="1">
      <c r="A33" s="1"/>
      <c r="B33" s="1"/>
      <c r="C33" s="5">
        <v>45687.0</v>
      </c>
      <c r="D33" s="6" t="str">
        <f t="shared" si="1"/>
        <v>qui.</v>
      </c>
      <c r="E33" s="7"/>
      <c r="F33" s="8"/>
      <c r="G33" s="9">
        <v>13482.65</v>
      </c>
    </row>
    <row r="34" ht="15.75" customHeight="1">
      <c r="A34" s="1"/>
      <c r="B34" s="1"/>
      <c r="C34" s="5">
        <v>45688.0</v>
      </c>
      <c r="D34" s="6" t="str">
        <f t="shared" si="1"/>
        <v>sex.</v>
      </c>
      <c r="E34" s="10"/>
      <c r="F34" s="11"/>
      <c r="G34" s="9">
        <v>21560.11</v>
      </c>
    </row>
    <row r="35" ht="15.75" customHeight="1">
      <c r="E35" s="12">
        <v>354243.38</v>
      </c>
      <c r="F35" s="13">
        <v>270458.56</v>
      </c>
      <c r="G35" s="14">
        <f>E35+F35</f>
        <v>624701.94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45689.0</v>
      </c>
      <c r="D4" s="6" t="str">
        <f t="shared" ref="D4:D31" si="1">TEXT(C4,"ddd")</f>
        <v>sáb.</v>
      </c>
      <c r="E4" s="7"/>
      <c r="F4" s="8"/>
      <c r="G4" s="9">
        <v>30238.78</v>
      </c>
    </row>
    <row r="5" ht="15.75" customHeight="1">
      <c r="C5" s="5">
        <v>45690.0</v>
      </c>
      <c r="D5" s="6" t="str">
        <f t="shared" si="1"/>
        <v>dom.</v>
      </c>
      <c r="E5" s="7"/>
      <c r="F5" s="8"/>
      <c r="G5" s="9">
        <v>32839.32</v>
      </c>
    </row>
    <row r="6" ht="15.75" customHeight="1">
      <c r="C6" s="5">
        <v>45691.0</v>
      </c>
      <c r="D6" s="6" t="str">
        <f t="shared" si="1"/>
        <v>seg.</v>
      </c>
      <c r="E6" s="7"/>
      <c r="F6" s="8"/>
      <c r="G6" s="9">
        <v>6709.49</v>
      </c>
    </row>
    <row r="7" ht="15.75" customHeight="1">
      <c r="C7" s="5">
        <v>45692.0</v>
      </c>
      <c r="D7" s="6" t="str">
        <f t="shared" si="1"/>
        <v>ter.</v>
      </c>
      <c r="E7" s="7"/>
      <c r="F7" s="8"/>
      <c r="G7" s="9">
        <v>8305.73</v>
      </c>
    </row>
    <row r="8" ht="15.75" customHeight="1">
      <c r="C8" s="5">
        <v>45693.0</v>
      </c>
      <c r="D8" s="6" t="str">
        <f t="shared" si="1"/>
        <v>qua.</v>
      </c>
      <c r="E8" s="7"/>
      <c r="F8" s="8"/>
      <c r="G8" s="9">
        <v>8346.94</v>
      </c>
    </row>
    <row r="9" ht="15.75" customHeight="1">
      <c r="C9" s="5">
        <v>45694.0</v>
      </c>
      <c r="D9" s="6" t="str">
        <f t="shared" si="1"/>
        <v>qui.</v>
      </c>
      <c r="E9" s="7"/>
      <c r="F9" s="8"/>
      <c r="G9" s="9">
        <v>12576.39</v>
      </c>
    </row>
    <row r="10" ht="15.75" customHeight="1">
      <c r="C10" s="5">
        <v>45695.0</v>
      </c>
      <c r="D10" s="6" t="str">
        <f t="shared" si="1"/>
        <v>sex.</v>
      </c>
      <c r="E10" s="7"/>
      <c r="F10" s="8"/>
      <c r="G10" s="9">
        <v>23473.49</v>
      </c>
    </row>
    <row r="11" ht="15.75" customHeight="1">
      <c r="C11" s="5">
        <v>45696.0</v>
      </c>
      <c r="D11" s="6" t="str">
        <f t="shared" si="1"/>
        <v>sáb.</v>
      </c>
      <c r="E11" s="7"/>
      <c r="F11" s="8"/>
      <c r="G11" s="9">
        <v>33126.6</v>
      </c>
    </row>
    <row r="12" ht="15.75" customHeight="1">
      <c r="C12" s="5">
        <v>45697.0</v>
      </c>
      <c r="D12" s="6" t="str">
        <f t="shared" si="1"/>
        <v>dom.</v>
      </c>
      <c r="E12" s="7"/>
      <c r="F12" s="8"/>
      <c r="G12" s="9">
        <v>36122.22</v>
      </c>
    </row>
    <row r="13" ht="15.75" customHeight="1">
      <c r="C13" s="5">
        <v>45698.0</v>
      </c>
      <c r="D13" s="6" t="str">
        <f t="shared" si="1"/>
        <v>seg.</v>
      </c>
      <c r="E13" s="7"/>
      <c r="F13" s="8"/>
      <c r="G13" s="9">
        <v>9433.65</v>
      </c>
    </row>
    <row r="14" ht="15.75" customHeight="1">
      <c r="C14" s="5">
        <v>45699.0</v>
      </c>
      <c r="D14" s="6" t="str">
        <f t="shared" si="1"/>
        <v>ter.</v>
      </c>
      <c r="E14" s="7"/>
      <c r="F14" s="8"/>
      <c r="G14" s="9">
        <v>7038.09</v>
      </c>
    </row>
    <row r="15" ht="15.75" customHeight="1">
      <c r="C15" s="5">
        <v>45700.0</v>
      </c>
      <c r="D15" s="6" t="str">
        <f t="shared" si="1"/>
        <v>qua.</v>
      </c>
      <c r="E15" s="7"/>
      <c r="F15" s="8"/>
      <c r="G15" s="9">
        <v>9429.88</v>
      </c>
    </row>
    <row r="16" ht="15.75" customHeight="1">
      <c r="C16" s="5">
        <v>45701.0</v>
      </c>
      <c r="D16" s="6" t="str">
        <f t="shared" si="1"/>
        <v>qui.</v>
      </c>
      <c r="E16" s="7"/>
      <c r="F16" s="8"/>
      <c r="G16" s="9">
        <v>7230.47</v>
      </c>
    </row>
    <row r="17" ht="15.75" customHeight="1">
      <c r="C17" s="5">
        <v>45702.0</v>
      </c>
      <c r="D17" s="6" t="str">
        <f t="shared" si="1"/>
        <v>sex.</v>
      </c>
      <c r="E17" s="7"/>
      <c r="F17" s="8"/>
      <c r="G17" s="9">
        <v>21443.24</v>
      </c>
    </row>
    <row r="18" ht="15.75" customHeight="1">
      <c r="C18" s="5">
        <v>45703.0</v>
      </c>
      <c r="D18" s="6" t="str">
        <f t="shared" si="1"/>
        <v>sáb.</v>
      </c>
      <c r="E18" s="7"/>
      <c r="F18" s="8"/>
      <c r="G18" s="9">
        <v>26138.28</v>
      </c>
    </row>
    <row r="19" ht="15.75" customHeight="1">
      <c r="C19" s="5">
        <v>45704.0</v>
      </c>
      <c r="D19" s="6" t="str">
        <f t="shared" si="1"/>
        <v>dom.</v>
      </c>
      <c r="E19" s="7"/>
      <c r="F19" s="8"/>
      <c r="G19" s="9">
        <v>37101.5</v>
      </c>
    </row>
    <row r="20" ht="15.75" customHeight="1">
      <c r="C20" s="5">
        <v>45705.0</v>
      </c>
      <c r="D20" s="6" t="str">
        <f t="shared" si="1"/>
        <v>seg.</v>
      </c>
      <c r="E20" s="7"/>
      <c r="F20" s="8"/>
      <c r="G20" s="9">
        <v>8787.48</v>
      </c>
    </row>
    <row r="21" ht="15.75" customHeight="1">
      <c r="C21" s="5">
        <v>45706.0</v>
      </c>
      <c r="D21" s="6" t="str">
        <f t="shared" si="1"/>
        <v>ter.</v>
      </c>
      <c r="E21" s="7"/>
      <c r="F21" s="8"/>
      <c r="G21" s="9">
        <v>7034.39</v>
      </c>
    </row>
    <row r="22" ht="15.75" customHeight="1">
      <c r="C22" s="5">
        <v>45707.0</v>
      </c>
      <c r="D22" s="6" t="str">
        <f t="shared" si="1"/>
        <v>qua.</v>
      </c>
      <c r="E22" s="7"/>
      <c r="F22" s="8"/>
      <c r="G22" s="9">
        <v>15154.58</v>
      </c>
    </row>
    <row r="23" ht="15.75" customHeight="1">
      <c r="C23" s="5">
        <v>45708.0</v>
      </c>
      <c r="D23" s="6" t="str">
        <f t="shared" si="1"/>
        <v>qui.</v>
      </c>
      <c r="E23" s="7"/>
      <c r="F23" s="8"/>
      <c r="G23" s="9">
        <v>14831.62</v>
      </c>
    </row>
    <row r="24" ht="15.75" customHeight="1">
      <c r="C24" s="5">
        <v>45709.0</v>
      </c>
      <c r="D24" s="6" t="str">
        <f t="shared" si="1"/>
        <v>sex.</v>
      </c>
      <c r="E24" s="7"/>
      <c r="F24" s="8"/>
      <c r="G24" s="9">
        <v>26455.78</v>
      </c>
    </row>
    <row r="25" ht="15.75" customHeight="1">
      <c r="C25" s="5">
        <v>45710.0</v>
      </c>
      <c r="D25" s="6" t="str">
        <f t="shared" si="1"/>
        <v>sáb.</v>
      </c>
      <c r="E25" s="7"/>
      <c r="F25" s="8"/>
      <c r="G25" s="9">
        <v>31170.64</v>
      </c>
    </row>
    <row r="26" ht="15.75" customHeight="1">
      <c r="C26" s="5">
        <v>45711.0</v>
      </c>
      <c r="D26" s="6" t="str">
        <f t="shared" si="1"/>
        <v>dom.</v>
      </c>
      <c r="E26" s="7"/>
      <c r="F26" s="8"/>
      <c r="G26" s="9">
        <v>34715.51</v>
      </c>
    </row>
    <row r="27" ht="15.75" customHeight="1">
      <c r="C27" s="5">
        <v>45712.0</v>
      </c>
      <c r="D27" s="6" t="str">
        <f t="shared" si="1"/>
        <v>seg.</v>
      </c>
      <c r="E27" s="7"/>
      <c r="F27" s="8"/>
      <c r="G27" s="9">
        <v>4938.22</v>
      </c>
    </row>
    <row r="28" ht="15.75" customHeight="1">
      <c r="C28" s="5">
        <v>45713.0</v>
      </c>
      <c r="D28" s="6" t="str">
        <f t="shared" si="1"/>
        <v>ter.</v>
      </c>
      <c r="E28" s="7"/>
      <c r="F28" s="8"/>
      <c r="G28" s="9">
        <v>7923.3</v>
      </c>
    </row>
    <row r="29" ht="15.75" customHeight="1">
      <c r="C29" s="5">
        <v>45714.0</v>
      </c>
      <c r="D29" s="6" t="str">
        <f t="shared" si="1"/>
        <v>qua.</v>
      </c>
      <c r="E29" s="7"/>
      <c r="F29" s="8"/>
      <c r="G29" s="9">
        <v>7933.33</v>
      </c>
    </row>
    <row r="30" ht="15.75" customHeight="1">
      <c r="C30" s="5">
        <v>45715.0</v>
      </c>
      <c r="D30" s="6" t="str">
        <f t="shared" si="1"/>
        <v>qui.</v>
      </c>
      <c r="E30" s="7"/>
      <c r="F30" s="8"/>
      <c r="G30" s="9">
        <v>10812.77</v>
      </c>
    </row>
    <row r="31" ht="15.75" customHeight="1">
      <c r="C31" s="5">
        <v>45716.0</v>
      </c>
      <c r="D31" s="6" t="str">
        <f t="shared" si="1"/>
        <v>sex.</v>
      </c>
      <c r="E31" s="7"/>
      <c r="F31" s="8"/>
      <c r="G31" s="9">
        <v>20202.26</v>
      </c>
    </row>
    <row r="32" ht="15.75" customHeight="1">
      <c r="C32" s="5"/>
      <c r="D32" s="6"/>
      <c r="E32" s="7"/>
      <c r="F32" s="8"/>
      <c r="G32" s="9"/>
    </row>
    <row r="33" ht="15.75" customHeight="1">
      <c r="C33" s="5"/>
      <c r="D33" s="6"/>
      <c r="E33" s="7"/>
      <c r="F33" s="8"/>
      <c r="G33" s="9"/>
    </row>
    <row r="34" ht="15.75" customHeight="1">
      <c r="C34" s="5"/>
      <c r="D34" s="15"/>
      <c r="E34" s="10"/>
      <c r="F34" s="11"/>
      <c r="G34" s="9"/>
    </row>
    <row r="35" ht="15.75" customHeight="1">
      <c r="E35" s="12">
        <v>249473.15</v>
      </c>
      <c r="F35" s="13">
        <v>250040.8</v>
      </c>
      <c r="G35" s="14">
        <f>E35+F35</f>
        <v>499513.95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45717.0</v>
      </c>
      <c r="D4" s="6" t="str">
        <f t="shared" ref="D4:D34" si="1">TEXT(C4,"ddd")</f>
        <v>sáb.</v>
      </c>
      <c r="E4" s="7"/>
      <c r="F4" s="8"/>
      <c r="G4" s="9">
        <v>28980.13</v>
      </c>
    </row>
    <row r="5" ht="15.75" customHeight="1">
      <c r="C5" s="5">
        <v>45718.0</v>
      </c>
      <c r="D5" s="6" t="str">
        <f t="shared" si="1"/>
        <v>dom.</v>
      </c>
      <c r="E5" s="7"/>
      <c r="F5" s="8"/>
      <c r="G5" s="9">
        <v>44874.76</v>
      </c>
    </row>
    <row r="6" ht="15.75" customHeight="1">
      <c r="C6" s="5">
        <v>45719.0</v>
      </c>
      <c r="D6" s="6" t="str">
        <f t="shared" si="1"/>
        <v>seg.</v>
      </c>
      <c r="E6" s="7"/>
      <c r="F6" s="8"/>
      <c r="G6" s="9">
        <v>19588.17</v>
      </c>
    </row>
    <row r="7" ht="15.75" customHeight="1">
      <c r="C7" s="5">
        <v>45720.0</v>
      </c>
      <c r="D7" s="6" t="str">
        <f t="shared" si="1"/>
        <v>ter.</v>
      </c>
      <c r="E7" s="7"/>
      <c r="F7" s="8"/>
      <c r="G7" s="9">
        <v>21553.97</v>
      </c>
    </row>
    <row r="8" ht="15.75" customHeight="1">
      <c r="C8" s="5">
        <v>45721.0</v>
      </c>
      <c r="D8" s="6" t="str">
        <f t="shared" si="1"/>
        <v>qua.</v>
      </c>
      <c r="E8" s="7"/>
      <c r="F8" s="8"/>
      <c r="G8" s="9">
        <v>15697.45</v>
      </c>
    </row>
    <row r="9" ht="15.75" customHeight="1">
      <c r="C9" s="5">
        <v>45722.0</v>
      </c>
      <c r="D9" s="6" t="str">
        <f t="shared" si="1"/>
        <v>qui.</v>
      </c>
      <c r="E9" s="7"/>
      <c r="F9" s="8"/>
      <c r="G9" s="9">
        <v>10099.75</v>
      </c>
    </row>
    <row r="10" ht="15.75" customHeight="1">
      <c r="C10" s="5">
        <v>45723.0</v>
      </c>
      <c r="D10" s="6" t="str">
        <f t="shared" si="1"/>
        <v>sex.</v>
      </c>
      <c r="E10" s="7"/>
      <c r="F10" s="8"/>
      <c r="G10" s="9">
        <v>20384.11</v>
      </c>
    </row>
    <row r="11" ht="15.75" customHeight="1">
      <c r="C11" s="5">
        <v>45724.0</v>
      </c>
      <c r="D11" s="6" t="str">
        <f t="shared" si="1"/>
        <v>sáb.</v>
      </c>
      <c r="E11" s="7"/>
      <c r="F11" s="8"/>
      <c r="G11" s="9">
        <v>36264.39</v>
      </c>
    </row>
    <row r="12" ht="15.75" customHeight="1">
      <c r="C12" s="5">
        <v>45725.0</v>
      </c>
      <c r="D12" s="6" t="str">
        <f t="shared" si="1"/>
        <v>dom.</v>
      </c>
      <c r="E12" s="7"/>
      <c r="F12" s="8"/>
      <c r="G12" s="9">
        <v>37442.21</v>
      </c>
    </row>
    <row r="13" ht="15.75" customHeight="1">
      <c r="C13" s="5">
        <v>45726.0</v>
      </c>
      <c r="D13" s="6" t="str">
        <f t="shared" si="1"/>
        <v>seg.</v>
      </c>
      <c r="E13" s="7"/>
      <c r="F13" s="8"/>
      <c r="G13" s="9">
        <v>6459.29</v>
      </c>
    </row>
    <row r="14" ht="15.75" customHeight="1">
      <c r="C14" s="5">
        <v>45727.0</v>
      </c>
      <c r="D14" s="6" t="str">
        <f t="shared" si="1"/>
        <v>ter.</v>
      </c>
      <c r="E14" s="7"/>
      <c r="F14" s="8"/>
      <c r="G14" s="9">
        <v>8694.37</v>
      </c>
    </row>
    <row r="15" ht="15.75" customHeight="1">
      <c r="C15" s="5">
        <v>45728.0</v>
      </c>
      <c r="D15" s="6" t="str">
        <f t="shared" si="1"/>
        <v>qua.</v>
      </c>
      <c r="E15" s="7"/>
      <c r="F15" s="8"/>
      <c r="G15" s="9">
        <v>8321.54</v>
      </c>
    </row>
    <row r="16" ht="15.75" customHeight="1">
      <c r="C16" s="5">
        <v>45729.0</v>
      </c>
      <c r="D16" s="6" t="str">
        <f t="shared" si="1"/>
        <v>qui.</v>
      </c>
      <c r="E16" s="7"/>
      <c r="F16" s="8"/>
      <c r="G16" s="9">
        <v>10096.87</v>
      </c>
    </row>
    <row r="17" ht="15.75" customHeight="1">
      <c r="C17" s="5">
        <v>45730.0</v>
      </c>
      <c r="D17" s="6" t="str">
        <f t="shared" si="1"/>
        <v>sex.</v>
      </c>
      <c r="E17" s="7"/>
      <c r="F17" s="8"/>
      <c r="G17" s="9">
        <v>21988.68</v>
      </c>
    </row>
    <row r="18" ht="15.75" customHeight="1">
      <c r="C18" s="5">
        <v>45731.0</v>
      </c>
      <c r="D18" s="6" t="str">
        <f t="shared" si="1"/>
        <v>sáb.</v>
      </c>
      <c r="E18" s="7"/>
      <c r="F18" s="8"/>
      <c r="G18" s="9">
        <v>27986.87</v>
      </c>
    </row>
    <row r="19" ht="15.75" customHeight="1">
      <c r="C19" s="5">
        <v>45732.0</v>
      </c>
      <c r="D19" s="6" t="str">
        <f t="shared" si="1"/>
        <v>dom.</v>
      </c>
      <c r="E19" s="7"/>
      <c r="F19" s="8"/>
      <c r="G19" s="9">
        <v>32453.0</v>
      </c>
    </row>
    <row r="20" ht="15.75" customHeight="1">
      <c r="C20" s="5">
        <v>45733.0</v>
      </c>
      <c r="D20" s="6" t="str">
        <f t="shared" si="1"/>
        <v>seg.</v>
      </c>
      <c r="E20" s="7"/>
      <c r="F20" s="8"/>
      <c r="G20" s="9">
        <v>0.0</v>
      </c>
    </row>
    <row r="21" ht="15.75" customHeight="1">
      <c r="C21" s="5">
        <v>45734.0</v>
      </c>
      <c r="D21" s="6" t="str">
        <f t="shared" si="1"/>
        <v>ter.</v>
      </c>
      <c r="E21" s="7"/>
      <c r="F21" s="8"/>
      <c r="G21" s="9">
        <v>10621.32</v>
      </c>
    </row>
    <row r="22" ht="15.75" customHeight="1">
      <c r="C22" s="5">
        <v>45735.0</v>
      </c>
      <c r="D22" s="6" t="str">
        <f t="shared" si="1"/>
        <v>qua.</v>
      </c>
      <c r="E22" s="7"/>
      <c r="F22" s="8"/>
      <c r="G22" s="9">
        <v>10011.3</v>
      </c>
    </row>
    <row r="23" ht="15.75" customHeight="1">
      <c r="C23" s="5">
        <v>45736.0</v>
      </c>
      <c r="D23" s="6" t="str">
        <f t="shared" si="1"/>
        <v>qui.</v>
      </c>
      <c r="E23" s="7"/>
      <c r="F23" s="8"/>
      <c r="G23" s="9">
        <v>11492.07</v>
      </c>
    </row>
    <row r="24" ht="15.75" customHeight="1">
      <c r="C24" s="5">
        <v>45737.0</v>
      </c>
      <c r="D24" s="6" t="str">
        <f t="shared" si="1"/>
        <v>sex.</v>
      </c>
      <c r="E24" s="7"/>
      <c r="F24" s="8"/>
      <c r="G24" s="9">
        <v>24548.31</v>
      </c>
    </row>
    <row r="25" ht="15.75" customHeight="1">
      <c r="C25" s="5">
        <v>45738.0</v>
      </c>
      <c r="D25" s="6" t="str">
        <f t="shared" si="1"/>
        <v>sáb.</v>
      </c>
      <c r="E25" s="7"/>
      <c r="F25" s="8"/>
      <c r="G25" s="9">
        <v>35745.15</v>
      </c>
    </row>
    <row r="26" ht="15.75" customHeight="1">
      <c r="C26" s="5">
        <v>45739.0</v>
      </c>
      <c r="D26" s="6" t="str">
        <f t="shared" si="1"/>
        <v>dom.</v>
      </c>
      <c r="E26" s="7"/>
      <c r="F26" s="8"/>
      <c r="G26" s="9">
        <v>33151.5</v>
      </c>
    </row>
    <row r="27" ht="15.75" customHeight="1">
      <c r="C27" s="5">
        <v>45740.0</v>
      </c>
      <c r="D27" s="6" t="str">
        <f t="shared" si="1"/>
        <v>seg.</v>
      </c>
      <c r="E27" s="7"/>
      <c r="F27" s="8"/>
      <c r="G27" s="9">
        <v>6879.49</v>
      </c>
    </row>
    <row r="28" ht="15.75" customHeight="1">
      <c r="C28" s="5">
        <v>45741.0</v>
      </c>
      <c r="D28" s="6" t="str">
        <f t="shared" si="1"/>
        <v>ter.</v>
      </c>
      <c r="E28" s="7"/>
      <c r="F28" s="8"/>
      <c r="G28" s="9">
        <v>12663.89</v>
      </c>
    </row>
    <row r="29" ht="15.75" customHeight="1">
      <c r="C29" s="5">
        <v>45742.0</v>
      </c>
      <c r="D29" s="6" t="str">
        <f t="shared" si="1"/>
        <v>qua.</v>
      </c>
      <c r="E29" s="7"/>
      <c r="F29" s="8"/>
      <c r="G29" s="9">
        <v>12099.8</v>
      </c>
    </row>
    <row r="30" ht="15.75" customHeight="1">
      <c r="C30" s="5">
        <v>45743.0</v>
      </c>
      <c r="D30" s="6" t="str">
        <f t="shared" si="1"/>
        <v>qui.</v>
      </c>
      <c r="E30" s="7"/>
      <c r="F30" s="8"/>
      <c r="G30" s="9">
        <v>10254.14</v>
      </c>
    </row>
    <row r="31" ht="15.75" customHeight="1">
      <c r="C31" s="5">
        <v>45744.0</v>
      </c>
      <c r="D31" s="6" t="str">
        <f t="shared" si="1"/>
        <v>sex.</v>
      </c>
      <c r="E31" s="7"/>
      <c r="F31" s="8"/>
      <c r="G31" s="9">
        <v>24486.24</v>
      </c>
    </row>
    <row r="32" ht="15.75" customHeight="1">
      <c r="C32" s="5">
        <v>45745.0</v>
      </c>
      <c r="D32" s="6" t="str">
        <f t="shared" si="1"/>
        <v>sáb.</v>
      </c>
      <c r="E32" s="7"/>
      <c r="F32" s="8"/>
      <c r="G32" s="9">
        <v>31243.5</v>
      </c>
    </row>
    <row r="33" ht="15.75" customHeight="1">
      <c r="C33" s="5">
        <v>45746.0</v>
      </c>
      <c r="D33" s="6" t="str">
        <f t="shared" si="1"/>
        <v>dom.</v>
      </c>
      <c r="E33" s="7"/>
      <c r="F33" s="8"/>
      <c r="G33" s="9">
        <v>41110.69</v>
      </c>
    </row>
    <row r="34" ht="15.75" customHeight="1">
      <c r="C34" s="5">
        <v>45747.0</v>
      </c>
      <c r="D34" s="6" t="str">
        <f t="shared" si="1"/>
        <v>seg.</v>
      </c>
      <c r="E34" s="10"/>
      <c r="F34" s="11"/>
      <c r="G34" s="9">
        <v>8343.28</v>
      </c>
    </row>
    <row r="35" ht="15.75" customHeight="1">
      <c r="E35" s="12">
        <v>311883.45</v>
      </c>
      <c r="F35" s="13">
        <v>311652.79</v>
      </c>
      <c r="G35" s="14">
        <f>E35+F35</f>
        <v>623536.24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45748.0</v>
      </c>
      <c r="D4" s="6" t="str">
        <f t="shared" ref="D4:D33" si="1">TEXT(C4,"ddd")</f>
        <v>ter.</v>
      </c>
      <c r="E4" s="7"/>
      <c r="F4" s="8"/>
      <c r="G4" s="9">
        <v>10109.59</v>
      </c>
    </row>
    <row r="5" ht="15.75" customHeight="1">
      <c r="C5" s="5">
        <v>45749.0</v>
      </c>
      <c r="D5" s="6" t="str">
        <f t="shared" si="1"/>
        <v>qua.</v>
      </c>
      <c r="E5" s="7"/>
      <c r="F5" s="8"/>
      <c r="G5" s="9">
        <v>10944.64</v>
      </c>
    </row>
    <row r="6" ht="15.75" customHeight="1">
      <c r="C6" s="5">
        <v>45750.0</v>
      </c>
      <c r="D6" s="6" t="str">
        <f t="shared" si="1"/>
        <v>qui.</v>
      </c>
      <c r="E6" s="7"/>
      <c r="F6" s="8"/>
      <c r="G6" s="9">
        <v>9253.32</v>
      </c>
    </row>
    <row r="7" ht="15.75" customHeight="1">
      <c r="C7" s="5">
        <v>45751.0</v>
      </c>
      <c r="D7" s="6" t="str">
        <f t="shared" si="1"/>
        <v>sex.</v>
      </c>
      <c r="E7" s="7"/>
      <c r="F7" s="8"/>
      <c r="G7" s="9">
        <v>24203.05</v>
      </c>
    </row>
    <row r="8" ht="15.75" customHeight="1">
      <c r="C8" s="5">
        <v>45752.0</v>
      </c>
      <c r="D8" s="6" t="str">
        <f t="shared" si="1"/>
        <v>sáb.</v>
      </c>
      <c r="E8" s="7"/>
      <c r="F8" s="8"/>
      <c r="G8" s="9">
        <v>38112.8</v>
      </c>
    </row>
    <row r="9" ht="15.75" customHeight="1">
      <c r="C9" s="5">
        <v>45753.0</v>
      </c>
      <c r="D9" s="6" t="str">
        <f t="shared" si="1"/>
        <v>dom.</v>
      </c>
      <c r="E9" s="7"/>
      <c r="F9" s="8"/>
      <c r="G9" s="9">
        <v>42870.7</v>
      </c>
    </row>
    <row r="10" ht="15.75" customHeight="1">
      <c r="C10" s="5">
        <v>45754.0</v>
      </c>
      <c r="D10" s="6" t="str">
        <f t="shared" si="1"/>
        <v>seg.</v>
      </c>
      <c r="E10" s="7"/>
      <c r="F10" s="8"/>
      <c r="G10" s="9">
        <v>8074.99</v>
      </c>
    </row>
    <row r="11" ht="15.75" customHeight="1">
      <c r="C11" s="5">
        <v>45755.0</v>
      </c>
      <c r="D11" s="6" t="str">
        <f t="shared" si="1"/>
        <v>ter.</v>
      </c>
      <c r="E11" s="7"/>
      <c r="F11" s="8"/>
      <c r="G11" s="9">
        <v>6729.89</v>
      </c>
    </row>
    <row r="12" ht="15.75" customHeight="1">
      <c r="C12" s="5">
        <v>45756.0</v>
      </c>
      <c r="D12" s="6" t="str">
        <f t="shared" si="1"/>
        <v>qua.</v>
      </c>
      <c r="E12" s="7"/>
      <c r="F12" s="8"/>
      <c r="G12" s="9">
        <v>9621.85</v>
      </c>
    </row>
    <row r="13" ht="15.75" customHeight="1">
      <c r="C13" s="5">
        <v>45757.0</v>
      </c>
      <c r="D13" s="6" t="str">
        <f t="shared" si="1"/>
        <v>qui.</v>
      </c>
      <c r="E13" s="7"/>
      <c r="F13" s="8"/>
      <c r="G13" s="9">
        <v>13402.3</v>
      </c>
    </row>
    <row r="14" ht="15.75" customHeight="1">
      <c r="C14" s="5">
        <v>45758.0</v>
      </c>
      <c r="D14" s="6" t="str">
        <f t="shared" si="1"/>
        <v>sex.</v>
      </c>
      <c r="E14" s="7"/>
      <c r="F14" s="8"/>
      <c r="G14" s="9">
        <v>27443.47</v>
      </c>
    </row>
    <row r="15" ht="15.75" customHeight="1">
      <c r="C15" s="5">
        <v>45759.0</v>
      </c>
      <c r="D15" s="6" t="str">
        <f t="shared" si="1"/>
        <v>sáb.</v>
      </c>
      <c r="E15" s="7"/>
      <c r="F15" s="8"/>
      <c r="G15" s="9">
        <v>32125.05</v>
      </c>
    </row>
    <row r="16" ht="15.75" customHeight="1">
      <c r="C16" s="5">
        <v>45760.0</v>
      </c>
      <c r="D16" s="6" t="str">
        <f t="shared" si="1"/>
        <v>dom.</v>
      </c>
      <c r="E16" s="7"/>
      <c r="F16" s="8"/>
      <c r="G16" s="9">
        <v>40804.79</v>
      </c>
    </row>
    <row r="17" ht="15.75" customHeight="1">
      <c r="C17" s="5">
        <v>45761.0</v>
      </c>
      <c r="D17" s="6" t="str">
        <f t="shared" si="1"/>
        <v>seg.</v>
      </c>
      <c r="E17" s="7"/>
      <c r="F17" s="8"/>
      <c r="G17" s="9">
        <v>9422.12</v>
      </c>
    </row>
    <row r="18" ht="15.75" customHeight="1">
      <c r="C18" s="5">
        <v>45762.0</v>
      </c>
      <c r="D18" s="6" t="str">
        <f t="shared" si="1"/>
        <v>ter.</v>
      </c>
      <c r="E18" s="7"/>
      <c r="F18" s="8"/>
      <c r="G18" s="9">
        <v>10663.27</v>
      </c>
    </row>
    <row r="19" ht="15.75" customHeight="1">
      <c r="C19" s="5">
        <v>45763.0</v>
      </c>
      <c r="D19" s="6" t="str">
        <f t="shared" si="1"/>
        <v>qua.</v>
      </c>
      <c r="E19" s="7"/>
      <c r="F19" s="8"/>
      <c r="G19" s="9">
        <v>15162.03</v>
      </c>
    </row>
    <row r="20" ht="15.75" customHeight="1">
      <c r="C20" s="5">
        <v>45764.0</v>
      </c>
      <c r="D20" s="6" t="str">
        <f t="shared" si="1"/>
        <v>qui.</v>
      </c>
      <c r="E20" s="7"/>
      <c r="F20" s="8"/>
      <c r="G20" s="9">
        <v>21166.56</v>
      </c>
    </row>
    <row r="21" ht="15.75" customHeight="1">
      <c r="C21" s="5">
        <v>45765.0</v>
      </c>
      <c r="D21" s="6" t="str">
        <f t="shared" si="1"/>
        <v>sex.</v>
      </c>
      <c r="E21" s="7"/>
      <c r="F21" s="8"/>
      <c r="G21" s="9">
        <v>25790.94</v>
      </c>
    </row>
    <row r="22" ht="15.75" customHeight="1">
      <c r="C22" s="5">
        <v>45766.0</v>
      </c>
      <c r="D22" s="6" t="str">
        <f t="shared" si="1"/>
        <v>sáb.</v>
      </c>
      <c r="E22" s="7"/>
      <c r="F22" s="8"/>
      <c r="G22" s="9">
        <v>29741.39</v>
      </c>
    </row>
    <row r="23" ht="15.75" customHeight="1">
      <c r="C23" s="5">
        <v>45767.0</v>
      </c>
      <c r="D23" s="6" t="str">
        <f t="shared" si="1"/>
        <v>dom.</v>
      </c>
      <c r="E23" s="7"/>
      <c r="F23" s="8"/>
      <c r="G23" s="9">
        <v>34587.09</v>
      </c>
    </row>
    <row r="24" ht="15.75" customHeight="1">
      <c r="C24" s="5">
        <v>45768.0</v>
      </c>
      <c r="D24" s="6" t="str">
        <f t="shared" si="1"/>
        <v>seg.</v>
      </c>
      <c r="E24" s="7"/>
      <c r="F24" s="8"/>
      <c r="G24" s="9">
        <v>19430.64</v>
      </c>
    </row>
    <row r="25" ht="15.75" customHeight="1">
      <c r="C25" s="5">
        <v>45769.0</v>
      </c>
      <c r="D25" s="6" t="str">
        <f t="shared" si="1"/>
        <v>ter.</v>
      </c>
      <c r="E25" s="7"/>
      <c r="F25" s="8"/>
      <c r="G25" s="9">
        <v>5665.56</v>
      </c>
    </row>
    <row r="26" ht="15.75" customHeight="1">
      <c r="C26" s="5">
        <v>45770.0</v>
      </c>
      <c r="D26" s="6" t="str">
        <f t="shared" si="1"/>
        <v>qua.</v>
      </c>
      <c r="E26" s="7"/>
      <c r="F26" s="8"/>
      <c r="G26" s="9">
        <v>8970.85</v>
      </c>
    </row>
    <row r="27" ht="15.75" customHeight="1">
      <c r="C27" s="5">
        <v>45771.0</v>
      </c>
      <c r="D27" s="6" t="str">
        <f t="shared" si="1"/>
        <v>qui.</v>
      </c>
      <c r="E27" s="7"/>
      <c r="F27" s="8"/>
      <c r="G27" s="9">
        <v>9291.75</v>
      </c>
    </row>
    <row r="28" ht="15.75" customHeight="1">
      <c r="C28" s="5">
        <v>45772.0</v>
      </c>
      <c r="D28" s="6" t="str">
        <f t="shared" si="1"/>
        <v>sex.</v>
      </c>
      <c r="E28" s="7"/>
      <c r="F28" s="8"/>
      <c r="G28" s="9">
        <v>20766.32</v>
      </c>
    </row>
    <row r="29" ht="15.75" customHeight="1">
      <c r="C29" s="5">
        <v>45773.0</v>
      </c>
      <c r="D29" s="6" t="str">
        <f t="shared" si="1"/>
        <v>sáb.</v>
      </c>
      <c r="E29" s="7"/>
      <c r="F29" s="8"/>
      <c r="G29" s="9">
        <v>28912.4</v>
      </c>
    </row>
    <row r="30" ht="15.75" customHeight="1">
      <c r="C30" s="5">
        <v>45774.0</v>
      </c>
      <c r="D30" s="6" t="str">
        <f t="shared" si="1"/>
        <v>dom.</v>
      </c>
      <c r="E30" s="7"/>
      <c r="F30" s="8"/>
      <c r="G30" s="9">
        <v>34016.58</v>
      </c>
    </row>
    <row r="31" ht="15.75" customHeight="1">
      <c r="C31" s="5">
        <v>45775.0</v>
      </c>
      <c r="D31" s="6" t="str">
        <f t="shared" si="1"/>
        <v>seg.</v>
      </c>
      <c r="E31" s="7"/>
      <c r="F31" s="8"/>
      <c r="G31" s="9">
        <v>7846.07</v>
      </c>
    </row>
    <row r="32" ht="15.75" customHeight="1">
      <c r="C32" s="5">
        <v>45776.0</v>
      </c>
      <c r="D32" s="6" t="str">
        <f t="shared" si="1"/>
        <v>ter.</v>
      </c>
      <c r="E32" s="7"/>
      <c r="F32" s="8"/>
      <c r="G32" s="9">
        <v>9291.87</v>
      </c>
    </row>
    <row r="33" ht="15.75" customHeight="1">
      <c r="C33" s="5">
        <v>45777.0</v>
      </c>
      <c r="D33" s="6" t="str">
        <f t="shared" si="1"/>
        <v>qua.</v>
      </c>
      <c r="E33" s="7"/>
      <c r="F33" s="8"/>
      <c r="G33" s="9">
        <v>18877.04</v>
      </c>
    </row>
    <row r="34" ht="15.75" customHeight="1">
      <c r="C34" s="5"/>
      <c r="D34" s="6"/>
      <c r="E34" s="10"/>
      <c r="F34" s="11"/>
      <c r="G34" s="9"/>
    </row>
    <row r="35" ht="15.75" customHeight="1">
      <c r="E35" s="12">
        <v>316787.26</v>
      </c>
      <c r="F35" s="13">
        <v>266511.66</v>
      </c>
      <c r="G35" s="14">
        <f>E35+F35</f>
        <v>583298.92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45778.0</v>
      </c>
      <c r="D4" s="6" t="str">
        <f t="shared" ref="D4:D34" si="1">TEXT(C4,"ddd")</f>
        <v>qui.</v>
      </c>
      <c r="E4" s="7"/>
      <c r="F4" s="8"/>
      <c r="G4" s="9">
        <v>26152.65</v>
      </c>
    </row>
    <row r="5" ht="15.75" customHeight="1">
      <c r="C5" s="5">
        <v>45779.0</v>
      </c>
      <c r="D5" s="6" t="str">
        <f t="shared" si="1"/>
        <v>sex.</v>
      </c>
      <c r="E5" s="7"/>
      <c r="F5" s="8"/>
      <c r="G5" s="9">
        <v>23415.15</v>
      </c>
    </row>
    <row r="6" ht="15.75" customHeight="1">
      <c r="C6" s="5">
        <v>45780.0</v>
      </c>
      <c r="D6" s="6" t="str">
        <f t="shared" si="1"/>
        <v>sáb.</v>
      </c>
      <c r="E6" s="7"/>
      <c r="F6" s="8"/>
      <c r="G6" s="9">
        <v>29197.59</v>
      </c>
    </row>
    <row r="7" ht="15.75" customHeight="1">
      <c r="C7" s="5">
        <v>45781.0</v>
      </c>
      <c r="D7" s="6" t="str">
        <f t="shared" si="1"/>
        <v>dom.</v>
      </c>
      <c r="E7" s="7"/>
      <c r="F7" s="8"/>
      <c r="G7" s="9">
        <v>40663.12</v>
      </c>
    </row>
    <row r="8" ht="15.75" customHeight="1">
      <c r="C8" s="5">
        <v>45782.0</v>
      </c>
      <c r="D8" s="6" t="str">
        <f t="shared" si="1"/>
        <v>seg.</v>
      </c>
      <c r="E8" s="7"/>
      <c r="F8" s="8"/>
      <c r="G8" s="9">
        <v>7937.63</v>
      </c>
    </row>
    <row r="9" ht="15.75" customHeight="1">
      <c r="C9" s="5">
        <v>45783.0</v>
      </c>
      <c r="D9" s="6" t="str">
        <f t="shared" si="1"/>
        <v>ter.</v>
      </c>
      <c r="E9" s="7"/>
      <c r="F9" s="8"/>
      <c r="G9" s="9">
        <v>275.0</v>
      </c>
    </row>
    <row r="10" ht="15.75" customHeight="1">
      <c r="C10" s="5">
        <v>45784.0</v>
      </c>
      <c r="D10" s="6" t="str">
        <f t="shared" si="1"/>
        <v>qua.</v>
      </c>
      <c r="E10" s="7"/>
      <c r="F10" s="8"/>
      <c r="G10" s="9">
        <v>14768.73</v>
      </c>
    </row>
    <row r="11" ht="15.75" customHeight="1">
      <c r="C11" s="5">
        <v>45785.0</v>
      </c>
      <c r="D11" s="6" t="str">
        <f t="shared" si="1"/>
        <v>qui.</v>
      </c>
      <c r="E11" s="7"/>
      <c r="F11" s="8"/>
      <c r="G11" s="9">
        <v>12237.16</v>
      </c>
    </row>
    <row r="12" ht="15.75" customHeight="1">
      <c r="C12" s="5">
        <v>45786.0</v>
      </c>
      <c r="D12" s="6" t="str">
        <f t="shared" si="1"/>
        <v>sex.</v>
      </c>
      <c r="E12" s="7"/>
      <c r="F12" s="8"/>
      <c r="G12" s="9">
        <v>23921.35</v>
      </c>
    </row>
    <row r="13" ht="15.75" customHeight="1">
      <c r="C13" s="5">
        <v>45787.0</v>
      </c>
      <c r="D13" s="6" t="str">
        <f t="shared" si="1"/>
        <v>sáb.</v>
      </c>
      <c r="E13" s="7"/>
      <c r="F13" s="8"/>
      <c r="G13" s="9">
        <v>39326.58</v>
      </c>
    </row>
    <row r="14" ht="15.75" customHeight="1">
      <c r="C14" s="5">
        <v>45788.0</v>
      </c>
      <c r="D14" s="6" t="str">
        <f t="shared" si="1"/>
        <v>dom.</v>
      </c>
      <c r="E14" s="7"/>
      <c r="F14" s="8"/>
      <c r="G14" s="9">
        <v>40981.6</v>
      </c>
    </row>
    <row r="15" ht="15.75" customHeight="1">
      <c r="C15" s="5">
        <v>45789.0</v>
      </c>
      <c r="D15" s="6" t="str">
        <f t="shared" si="1"/>
        <v>seg.</v>
      </c>
      <c r="E15" s="7"/>
      <c r="F15" s="8"/>
      <c r="G15" s="9">
        <v>11722.74</v>
      </c>
    </row>
    <row r="16" ht="15.75" customHeight="1">
      <c r="C16" s="5">
        <v>45790.0</v>
      </c>
      <c r="D16" s="6" t="str">
        <f t="shared" si="1"/>
        <v>ter.</v>
      </c>
      <c r="E16" s="7"/>
      <c r="F16" s="8"/>
      <c r="G16" s="9">
        <v>12070.76</v>
      </c>
    </row>
    <row r="17" ht="15.75" customHeight="1">
      <c r="C17" s="5">
        <v>45791.0</v>
      </c>
      <c r="D17" s="6" t="str">
        <f t="shared" si="1"/>
        <v>qua.</v>
      </c>
      <c r="E17" s="7"/>
      <c r="F17" s="8"/>
      <c r="G17" s="9">
        <v>12452.32</v>
      </c>
    </row>
    <row r="18" ht="15.75" customHeight="1">
      <c r="C18" s="5">
        <v>45792.0</v>
      </c>
      <c r="D18" s="6" t="str">
        <f t="shared" si="1"/>
        <v>qui.</v>
      </c>
      <c r="E18" s="7"/>
      <c r="F18" s="8"/>
      <c r="G18" s="9">
        <v>11643.19</v>
      </c>
    </row>
    <row r="19" ht="15.75" customHeight="1">
      <c r="C19" s="5">
        <v>45793.0</v>
      </c>
      <c r="D19" s="6" t="str">
        <f t="shared" si="1"/>
        <v>sex.</v>
      </c>
      <c r="E19" s="7"/>
      <c r="F19" s="8"/>
      <c r="G19" s="9">
        <v>27881.22</v>
      </c>
    </row>
    <row r="20" ht="15.75" customHeight="1">
      <c r="C20" s="5">
        <v>45794.0</v>
      </c>
      <c r="D20" s="6" t="str">
        <f t="shared" si="1"/>
        <v>sáb.</v>
      </c>
      <c r="E20" s="7"/>
      <c r="F20" s="8"/>
      <c r="G20" s="9">
        <v>29887.75</v>
      </c>
    </row>
    <row r="21" ht="15.75" customHeight="1">
      <c r="C21" s="5">
        <v>45795.0</v>
      </c>
      <c r="D21" s="6" t="str">
        <f t="shared" si="1"/>
        <v>dom.</v>
      </c>
      <c r="E21" s="7"/>
      <c r="F21" s="8"/>
      <c r="G21" s="9">
        <v>37840.21</v>
      </c>
    </row>
    <row r="22" ht="15.75" customHeight="1">
      <c r="C22" s="5">
        <v>45796.0</v>
      </c>
      <c r="D22" s="6" t="str">
        <f t="shared" si="1"/>
        <v>seg.</v>
      </c>
      <c r="E22" s="7"/>
      <c r="F22" s="8"/>
      <c r="G22" s="9">
        <v>7584.9</v>
      </c>
    </row>
    <row r="23" ht="15.75" customHeight="1">
      <c r="C23" s="5">
        <v>45797.0</v>
      </c>
      <c r="D23" s="6" t="str">
        <f t="shared" si="1"/>
        <v>ter.</v>
      </c>
      <c r="E23" s="7"/>
      <c r="F23" s="8"/>
      <c r="G23" s="9">
        <v>9656.1</v>
      </c>
    </row>
    <row r="24" ht="15.75" customHeight="1">
      <c r="C24" s="5">
        <v>45798.0</v>
      </c>
      <c r="D24" s="6" t="str">
        <f t="shared" si="1"/>
        <v>qua.</v>
      </c>
      <c r="E24" s="7"/>
      <c r="F24" s="8"/>
      <c r="G24" s="9">
        <v>12775.7</v>
      </c>
    </row>
    <row r="25" ht="15.75" customHeight="1">
      <c r="C25" s="5">
        <v>45799.0</v>
      </c>
      <c r="D25" s="6" t="str">
        <f t="shared" si="1"/>
        <v>qui.</v>
      </c>
      <c r="E25" s="7"/>
      <c r="F25" s="8"/>
      <c r="G25" s="9">
        <v>12371.87</v>
      </c>
    </row>
    <row r="26" ht="15.75" customHeight="1">
      <c r="C26" s="5">
        <v>45800.0</v>
      </c>
      <c r="D26" s="6" t="str">
        <f t="shared" si="1"/>
        <v>sex.</v>
      </c>
      <c r="E26" s="7"/>
      <c r="F26" s="8"/>
      <c r="G26" s="9">
        <v>21757.21</v>
      </c>
    </row>
    <row r="27" ht="15.75" customHeight="1">
      <c r="C27" s="5">
        <v>45801.0</v>
      </c>
      <c r="D27" s="6" t="str">
        <f t="shared" si="1"/>
        <v>sáb.</v>
      </c>
      <c r="E27" s="7"/>
      <c r="F27" s="8"/>
      <c r="G27" s="9">
        <v>36263.88</v>
      </c>
    </row>
    <row r="28" ht="15.75" customHeight="1">
      <c r="C28" s="5">
        <v>45802.0</v>
      </c>
      <c r="D28" s="6" t="str">
        <f t="shared" si="1"/>
        <v>dom.</v>
      </c>
      <c r="E28" s="7"/>
      <c r="F28" s="8"/>
      <c r="G28" s="9">
        <v>42688.11</v>
      </c>
    </row>
    <row r="29" ht="15.75" customHeight="1">
      <c r="C29" s="5">
        <v>45803.0</v>
      </c>
      <c r="D29" s="6" t="str">
        <f t="shared" si="1"/>
        <v>seg.</v>
      </c>
      <c r="E29" s="7"/>
      <c r="F29" s="8"/>
      <c r="G29" s="9">
        <v>11770.92</v>
      </c>
    </row>
    <row r="30" ht="15.75" customHeight="1">
      <c r="C30" s="5">
        <v>45804.0</v>
      </c>
      <c r="D30" s="6" t="str">
        <f t="shared" si="1"/>
        <v>ter.</v>
      </c>
      <c r="E30" s="7"/>
      <c r="F30" s="8"/>
      <c r="G30" s="9">
        <v>8381.42</v>
      </c>
    </row>
    <row r="31" ht="15.75" customHeight="1">
      <c r="C31" s="5">
        <v>45805.0</v>
      </c>
      <c r="D31" s="6" t="str">
        <f t="shared" si="1"/>
        <v>qua.</v>
      </c>
      <c r="E31" s="7"/>
      <c r="F31" s="8"/>
      <c r="G31" s="9">
        <v>8372.85</v>
      </c>
    </row>
    <row r="32" ht="15.75" customHeight="1">
      <c r="C32" s="5">
        <v>45806.0</v>
      </c>
      <c r="D32" s="6" t="str">
        <f t="shared" si="1"/>
        <v>qui.</v>
      </c>
      <c r="E32" s="7"/>
      <c r="F32" s="8"/>
      <c r="G32" s="9">
        <v>11929.13</v>
      </c>
    </row>
    <row r="33" ht="15.75" customHeight="1">
      <c r="C33" s="5">
        <v>45807.0</v>
      </c>
      <c r="D33" s="6" t="str">
        <f t="shared" si="1"/>
        <v>sex.</v>
      </c>
      <c r="E33" s="7"/>
      <c r="F33" s="8"/>
      <c r="G33" s="9">
        <v>27057.36</v>
      </c>
    </row>
    <row r="34" ht="15.75" customHeight="1">
      <c r="C34" s="5">
        <v>45808.0</v>
      </c>
      <c r="D34" s="6" t="str">
        <f t="shared" si="1"/>
        <v>sáb.</v>
      </c>
      <c r="E34" s="10"/>
      <c r="F34" s="11"/>
      <c r="G34" s="9">
        <v>28700.98</v>
      </c>
    </row>
    <row r="35" ht="15.75" customHeight="1">
      <c r="E35" s="12">
        <v>347209.54</v>
      </c>
      <c r="F35" s="13">
        <v>294475.64</v>
      </c>
      <c r="G35" s="14">
        <f>E35+F35</f>
        <v>641685.18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45809.0</v>
      </c>
      <c r="D4" s="6" t="str">
        <f t="shared" ref="D4:D33" si="1">TEXT(C4,"ddd")</f>
        <v>dom.</v>
      </c>
      <c r="E4" s="7"/>
      <c r="F4" s="8"/>
      <c r="G4" s="9">
        <v>44933.86</v>
      </c>
    </row>
    <row r="5" ht="15.75" customHeight="1">
      <c r="C5" s="5">
        <v>45810.0</v>
      </c>
      <c r="D5" s="6" t="str">
        <f t="shared" si="1"/>
        <v>seg.</v>
      </c>
      <c r="E5" s="7"/>
      <c r="F5" s="8"/>
      <c r="G5" s="9">
        <v>7139.17</v>
      </c>
    </row>
    <row r="6" ht="15.75" customHeight="1">
      <c r="C6" s="5">
        <v>45811.0</v>
      </c>
      <c r="D6" s="6" t="str">
        <f t="shared" si="1"/>
        <v>ter.</v>
      </c>
      <c r="E6" s="7"/>
      <c r="F6" s="8"/>
      <c r="G6" s="9">
        <v>8009.95</v>
      </c>
    </row>
    <row r="7" ht="15.75" customHeight="1">
      <c r="C7" s="5">
        <v>45812.0</v>
      </c>
      <c r="D7" s="6" t="str">
        <f t="shared" si="1"/>
        <v>qua.</v>
      </c>
      <c r="E7" s="7"/>
      <c r="F7" s="8"/>
      <c r="G7" s="9">
        <v>13162.18</v>
      </c>
    </row>
    <row r="8" ht="15.75" customHeight="1">
      <c r="C8" s="5">
        <v>45813.0</v>
      </c>
      <c r="D8" s="6" t="str">
        <f t="shared" si="1"/>
        <v>qui.</v>
      </c>
      <c r="E8" s="7"/>
      <c r="F8" s="8"/>
      <c r="G8" s="9">
        <v>15719.93</v>
      </c>
    </row>
    <row r="9" ht="15.75" customHeight="1">
      <c r="C9" s="5">
        <v>45814.0</v>
      </c>
      <c r="D9" s="6" t="str">
        <f t="shared" si="1"/>
        <v>sex.</v>
      </c>
      <c r="E9" s="7"/>
      <c r="F9" s="8"/>
      <c r="G9" s="9">
        <v>29419.82</v>
      </c>
    </row>
    <row r="10" ht="15.75" customHeight="1">
      <c r="C10" s="5">
        <v>45815.0</v>
      </c>
      <c r="D10" s="6" t="str">
        <f t="shared" si="1"/>
        <v>sáb.</v>
      </c>
      <c r="E10" s="7"/>
      <c r="F10" s="8"/>
      <c r="G10" s="9">
        <v>32104.17</v>
      </c>
    </row>
    <row r="11" ht="15.75" customHeight="1">
      <c r="C11" s="5">
        <v>45816.0</v>
      </c>
      <c r="D11" s="6" t="str">
        <f t="shared" si="1"/>
        <v>dom.</v>
      </c>
      <c r="E11" s="7"/>
      <c r="F11" s="8"/>
      <c r="G11" s="9">
        <v>47811.27</v>
      </c>
    </row>
    <row r="12" ht="15.75" customHeight="1">
      <c r="C12" s="5">
        <v>45817.0</v>
      </c>
      <c r="D12" s="6" t="str">
        <f t="shared" si="1"/>
        <v>seg.</v>
      </c>
      <c r="E12" s="7"/>
      <c r="F12" s="8"/>
      <c r="G12" s="9">
        <v>10538.82</v>
      </c>
    </row>
    <row r="13" ht="15.75" customHeight="1">
      <c r="C13" s="5">
        <v>45818.0</v>
      </c>
      <c r="D13" s="6" t="str">
        <f t="shared" si="1"/>
        <v>ter.</v>
      </c>
      <c r="E13" s="7"/>
      <c r="F13" s="8"/>
      <c r="G13" s="9">
        <v>11475.41</v>
      </c>
    </row>
    <row r="14" ht="15.75" customHeight="1">
      <c r="C14" s="5">
        <v>45819.0</v>
      </c>
      <c r="D14" s="6" t="str">
        <f t="shared" si="1"/>
        <v>qua.</v>
      </c>
      <c r="E14" s="7"/>
      <c r="F14" s="8"/>
      <c r="G14" s="9">
        <v>9078.85</v>
      </c>
    </row>
    <row r="15" ht="15.75" customHeight="1">
      <c r="C15" s="5">
        <v>45820.0</v>
      </c>
      <c r="D15" s="6" t="str">
        <f t="shared" si="1"/>
        <v>qui.</v>
      </c>
      <c r="E15" s="7"/>
      <c r="F15" s="8"/>
      <c r="G15" s="9">
        <v>43449.71</v>
      </c>
    </row>
    <row r="16" ht="15.75" customHeight="1">
      <c r="C16" s="5">
        <v>45821.0</v>
      </c>
      <c r="D16" s="6" t="str">
        <f t="shared" si="1"/>
        <v>sex.</v>
      </c>
      <c r="E16" s="7"/>
      <c r="F16" s="8"/>
      <c r="G16" s="9">
        <v>21352.8</v>
      </c>
    </row>
    <row r="17" ht="15.75" customHeight="1">
      <c r="C17" s="5">
        <v>45822.0</v>
      </c>
      <c r="D17" s="6" t="str">
        <f t="shared" si="1"/>
        <v>sáb.</v>
      </c>
      <c r="E17" s="7"/>
      <c r="F17" s="8"/>
      <c r="G17" s="9">
        <v>35791.55</v>
      </c>
    </row>
    <row r="18" ht="15.75" customHeight="1">
      <c r="C18" s="5">
        <v>45823.0</v>
      </c>
      <c r="D18" s="6" t="str">
        <f t="shared" si="1"/>
        <v>dom.</v>
      </c>
      <c r="E18" s="7"/>
      <c r="F18" s="8"/>
      <c r="G18" s="9">
        <v>47516.89</v>
      </c>
    </row>
    <row r="19" ht="15.75" customHeight="1">
      <c r="C19" s="5">
        <v>45824.0</v>
      </c>
      <c r="D19" s="6" t="str">
        <f t="shared" si="1"/>
        <v>seg.</v>
      </c>
      <c r="E19" s="7"/>
      <c r="F19" s="8"/>
      <c r="G19" s="9">
        <v>8258.83</v>
      </c>
    </row>
    <row r="20" ht="15.75" customHeight="1">
      <c r="C20" s="5">
        <v>45825.0</v>
      </c>
      <c r="D20" s="6" t="str">
        <f t="shared" si="1"/>
        <v>ter.</v>
      </c>
      <c r="E20" s="7"/>
      <c r="F20" s="8"/>
      <c r="G20" s="9">
        <v>10073.66</v>
      </c>
    </row>
    <row r="21" ht="15.75" customHeight="1">
      <c r="C21" s="5">
        <v>45826.0</v>
      </c>
      <c r="D21" s="6" t="str">
        <f t="shared" si="1"/>
        <v>qua.</v>
      </c>
      <c r="E21" s="7"/>
      <c r="F21" s="8"/>
      <c r="G21" s="9">
        <v>13338.4</v>
      </c>
    </row>
    <row r="22" ht="15.75" customHeight="1">
      <c r="C22" s="5">
        <v>45827.0</v>
      </c>
      <c r="D22" s="6" t="str">
        <f t="shared" si="1"/>
        <v>qui.</v>
      </c>
      <c r="E22" s="7"/>
      <c r="F22" s="8"/>
      <c r="G22" s="9">
        <v>25707.16</v>
      </c>
    </row>
    <row r="23" ht="15.75" customHeight="1">
      <c r="C23" s="5">
        <v>45828.0</v>
      </c>
      <c r="D23" s="6" t="str">
        <f t="shared" si="1"/>
        <v>sex.</v>
      </c>
      <c r="E23" s="7"/>
      <c r="F23" s="8"/>
      <c r="G23" s="9">
        <v>21880.69</v>
      </c>
    </row>
    <row r="24" ht="15.75" customHeight="1">
      <c r="C24" s="5">
        <v>45829.0</v>
      </c>
      <c r="D24" s="6" t="str">
        <f t="shared" si="1"/>
        <v>sáb.</v>
      </c>
      <c r="E24" s="7"/>
      <c r="F24" s="8"/>
      <c r="G24" s="9">
        <v>26719.71</v>
      </c>
    </row>
    <row r="25" ht="15.75" customHeight="1">
      <c r="C25" s="5">
        <v>45830.0</v>
      </c>
      <c r="D25" s="6" t="str">
        <f t="shared" si="1"/>
        <v>dom.</v>
      </c>
      <c r="E25" s="7"/>
      <c r="F25" s="8"/>
      <c r="G25" s="9">
        <v>36771.27</v>
      </c>
    </row>
    <row r="26" ht="15.75" customHeight="1">
      <c r="C26" s="5">
        <v>45831.0</v>
      </c>
      <c r="D26" s="6" t="str">
        <f t="shared" si="1"/>
        <v>seg.</v>
      </c>
      <c r="E26" s="7"/>
      <c r="F26" s="8"/>
      <c r="G26" s="9">
        <v>11221.11</v>
      </c>
    </row>
    <row r="27" ht="15.75" customHeight="1">
      <c r="C27" s="5">
        <v>45832.0</v>
      </c>
      <c r="D27" s="6" t="str">
        <f t="shared" si="1"/>
        <v>ter.</v>
      </c>
      <c r="E27" s="7"/>
      <c r="F27" s="8"/>
      <c r="G27" s="9">
        <v>10054.99</v>
      </c>
    </row>
    <row r="28" ht="15.75" customHeight="1">
      <c r="C28" s="5">
        <v>45833.0</v>
      </c>
      <c r="D28" s="6" t="str">
        <f t="shared" si="1"/>
        <v>qua.</v>
      </c>
      <c r="E28" s="7"/>
      <c r="F28" s="8"/>
      <c r="G28" s="9">
        <v>12538.71</v>
      </c>
    </row>
    <row r="29" ht="15.75" customHeight="1">
      <c r="C29" s="5">
        <v>45834.0</v>
      </c>
      <c r="D29" s="6" t="str">
        <f t="shared" si="1"/>
        <v>qui.</v>
      </c>
      <c r="E29" s="7"/>
      <c r="F29" s="8"/>
      <c r="G29" s="9">
        <v>14873.45</v>
      </c>
    </row>
    <row r="30" ht="15.75" customHeight="1">
      <c r="C30" s="5">
        <v>45835.0</v>
      </c>
      <c r="D30" s="6" t="str">
        <f t="shared" si="1"/>
        <v>sex.</v>
      </c>
      <c r="E30" s="7"/>
      <c r="F30" s="8"/>
      <c r="G30" s="9">
        <v>25093.23</v>
      </c>
    </row>
    <row r="31" ht="15.75" customHeight="1">
      <c r="C31" s="5">
        <v>45836.0</v>
      </c>
      <c r="D31" s="6" t="str">
        <f t="shared" si="1"/>
        <v>sáb.</v>
      </c>
      <c r="E31" s="7"/>
      <c r="F31" s="8"/>
      <c r="G31" s="9">
        <v>33893.08</v>
      </c>
    </row>
    <row r="32" ht="15.75" customHeight="1">
      <c r="C32" s="5">
        <v>45837.0</v>
      </c>
      <c r="D32" s="6" t="str">
        <f t="shared" si="1"/>
        <v>dom.</v>
      </c>
      <c r="E32" s="7"/>
      <c r="F32" s="8"/>
      <c r="G32" s="9">
        <v>39432.22</v>
      </c>
    </row>
    <row r="33" ht="15.75" customHeight="1">
      <c r="C33" s="5">
        <v>45838.0</v>
      </c>
      <c r="D33" s="6" t="str">
        <f t="shared" si="1"/>
        <v>seg.</v>
      </c>
      <c r="E33" s="7"/>
      <c r="F33" s="8"/>
      <c r="G33" s="9">
        <v>11797.84</v>
      </c>
    </row>
    <row r="34" ht="15.75" customHeight="1">
      <c r="C34" s="5"/>
      <c r="D34" s="6"/>
      <c r="E34" s="10"/>
      <c r="F34" s="11"/>
      <c r="G34" s="9"/>
    </row>
    <row r="35" ht="15.75" customHeight="1">
      <c r="E35" s="12">
        <v>339348.5</v>
      </c>
      <c r="F35" s="13">
        <v>339810.23</v>
      </c>
      <c r="G35" s="14">
        <f>E35+F35</f>
        <v>679158.73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45839.0</v>
      </c>
      <c r="D4" s="6" t="str">
        <f t="shared" ref="D4:D34" si="1">TEXT(C4,"ddd")</f>
        <v>ter.</v>
      </c>
      <c r="E4" s="7"/>
      <c r="F4" s="8"/>
      <c r="G4" s="9">
        <v>15174.48</v>
      </c>
    </row>
    <row r="5" ht="15.75" customHeight="1">
      <c r="C5" s="5">
        <v>45840.0</v>
      </c>
      <c r="D5" s="6" t="str">
        <f t="shared" si="1"/>
        <v>qua.</v>
      </c>
      <c r="E5" s="7"/>
      <c r="F5" s="8"/>
      <c r="G5" s="9">
        <v>12806.22</v>
      </c>
    </row>
    <row r="6" ht="15.75" customHeight="1">
      <c r="C6" s="5">
        <v>45841.0</v>
      </c>
      <c r="D6" s="6" t="str">
        <f t="shared" si="1"/>
        <v>qui.</v>
      </c>
      <c r="E6" s="7"/>
      <c r="F6" s="8"/>
      <c r="G6" s="9">
        <v>14937.19</v>
      </c>
    </row>
    <row r="7" ht="15.75" customHeight="1">
      <c r="C7" s="5">
        <v>45842.0</v>
      </c>
      <c r="D7" s="6" t="str">
        <f t="shared" si="1"/>
        <v>sex.</v>
      </c>
      <c r="E7" s="7"/>
      <c r="F7" s="8"/>
      <c r="G7" s="9">
        <v>30184.31</v>
      </c>
    </row>
    <row r="8" ht="15.75" customHeight="1">
      <c r="C8" s="5">
        <v>45843.0</v>
      </c>
      <c r="D8" s="6" t="str">
        <f t="shared" si="1"/>
        <v>sáb.</v>
      </c>
      <c r="E8" s="7"/>
      <c r="F8" s="8"/>
      <c r="G8" s="9">
        <v>26876.5</v>
      </c>
    </row>
    <row r="9" ht="15.75" customHeight="1">
      <c r="C9" s="5">
        <v>45844.0</v>
      </c>
      <c r="D9" s="6" t="str">
        <f t="shared" si="1"/>
        <v>dom.</v>
      </c>
      <c r="E9" s="7"/>
      <c r="F9" s="8"/>
      <c r="G9" s="9">
        <v>39060.97</v>
      </c>
    </row>
    <row r="10" ht="15.75" customHeight="1">
      <c r="C10" s="5">
        <v>45845.0</v>
      </c>
      <c r="D10" s="6" t="str">
        <f t="shared" si="1"/>
        <v>seg.</v>
      </c>
      <c r="E10" s="7"/>
      <c r="F10" s="8"/>
      <c r="G10" s="9">
        <v>9761.05</v>
      </c>
    </row>
    <row r="11" ht="15.75" customHeight="1">
      <c r="C11" s="5">
        <v>45846.0</v>
      </c>
      <c r="D11" s="6" t="str">
        <f t="shared" si="1"/>
        <v>ter.</v>
      </c>
      <c r="E11" s="7"/>
      <c r="F11" s="8"/>
      <c r="G11" s="9">
        <v>14241.17</v>
      </c>
    </row>
    <row r="12" ht="15.75" customHeight="1">
      <c r="C12" s="5">
        <v>45847.0</v>
      </c>
      <c r="D12" s="6" t="str">
        <f t="shared" si="1"/>
        <v>qua.</v>
      </c>
      <c r="E12" s="7"/>
      <c r="F12" s="8"/>
      <c r="G12" s="9">
        <v>10868.49</v>
      </c>
    </row>
    <row r="13" ht="15.75" customHeight="1">
      <c r="C13" s="5">
        <v>45848.0</v>
      </c>
      <c r="D13" s="6" t="str">
        <f t="shared" si="1"/>
        <v>qui.</v>
      </c>
      <c r="E13" s="7"/>
      <c r="F13" s="8"/>
      <c r="G13" s="9">
        <v>32472.79</v>
      </c>
    </row>
    <row r="14" ht="15.75" customHeight="1">
      <c r="C14" s="5">
        <v>45849.0</v>
      </c>
      <c r="D14" s="6" t="str">
        <f t="shared" si="1"/>
        <v>sex.</v>
      </c>
      <c r="E14" s="7"/>
      <c r="F14" s="8"/>
      <c r="G14" s="9">
        <v>25826.87</v>
      </c>
    </row>
    <row r="15" ht="15.75" customHeight="1">
      <c r="C15" s="5">
        <v>45850.0</v>
      </c>
      <c r="D15" s="6" t="str">
        <f t="shared" si="1"/>
        <v>sáb.</v>
      </c>
      <c r="E15" s="7"/>
      <c r="F15" s="8"/>
      <c r="G15" s="9">
        <v>36677.44</v>
      </c>
    </row>
    <row r="16" ht="15.75" customHeight="1">
      <c r="C16" s="5">
        <v>45851.0</v>
      </c>
      <c r="D16" s="6" t="str">
        <f t="shared" si="1"/>
        <v>dom.</v>
      </c>
      <c r="E16" s="7"/>
      <c r="F16" s="8"/>
      <c r="G16" s="9">
        <v>38309.87</v>
      </c>
    </row>
    <row r="17" ht="15.75" customHeight="1">
      <c r="C17" s="5">
        <v>45852.0</v>
      </c>
      <c r="D17" s="6" t="str">
        <f t="shared" si="1"/>
        <v>seg.</v>
      </c>
      <c r="E17" s="7"/>
      <c r="F17" s="8"/>
      <c r="G17" s="9">
        <v>6552.45</v>
      </c>
    </row>
    <row r="18" ht="15.75" customHeight="1">
      <c r="C18" s="5">
        <v>45853.0</v>
      </c>
      <c r="D18" s="6" t="str">
        <f t="shared" si="1"/>
        <v>ter.</v>
      </c>
      <c r="E18" s="7"/>
      <c r="F18" s="8"/>
      <c r="G18" s="9">
        <v>16113.88</v>
      </c>
    </row>
    <row r="19" ht="15.75" customHeight="1">
      <c r="C19" s="5">
        <v>45854.0</v>
      </c>
      <c r="D19" s="6" t="str">
        <f t="shared" si="1"/>
        <v>qua.</v>
      </c>
      <c r="E19" s="7"/>
      <c r="F19" s="8"/>
      <c r="G19" s="9">
        <v>14142.12</v>
      </c>
    </row>
    <row r="20" ht="15.75" customHeight="1">
      <c r="C20" s="5">
        <v>45855.0</v>
      </c>
      <c r="D20" s="6" t="str">
        <f t="shared" si="1"/>
        <v>qui.</v>
      </c>
      <c r="E20" s="7"/>
      <c r="F20" s="8"/>
      <c r="G20" s="9">
        <v>13066.16</v>
      </c>
    </row>
    <row r="21" ht="15.75" customHeight="1">
      <c r="C21" s="5">
        <v>45856.0</v>
      </c>
      <c r="D21" s="6" t="str">
        <f t="shared" si="1"/>
        <v>sex.</v>
      </c>
      <c r="E21" s="7"/>
      <c r="F21" s="8"/>
      <c r="G21" s="9">
        <v>28850.3</v>
      </c>
    </row>
    <row r="22" ht="15.75" customHeight="1">
      <c r="C22" s="5">
        <v>45857.0</v>
      </c>
      <c r="D22" s="6" t="str">
        <f t="shared" si="1"/>
        <v>sáb.</v>
      </c>
      <c r="E22" s="7"/>
      <c r="F22" s="8"/>
      <c r="G22" s="9">
        <v>31741.83</v>
      </c>
    </row>
    <row r="23" ht="15.75" customHeight="1">
      <c r="C23" s="5">
        <v>45858.0</v>
      </c>
      <c r="D23" s="6" t="str">
        <f t="shared" si="1"/>
        <v>dom.</v>
      </c>
      <c r="E23" s="7"/>
      <c r="F23" s="8"/>
      <c r="G23" s="9">
        <v>39634.82</v>
      </c>
    </row>
    <row r="24" ht="15.75" customHeight="1">
      <c r="C24" s="5">
        <v>45859.0</v>
      </c>
      <c r="D24" s="6" t="str">
        <f t="shared" si="1"/>
        <v>seg.</v>
      </c>
      <c r="E24" s="7"/>
      <c r="F24" s="8"/>
      <c r="G24" s="9">
        <v>14367.24</v>
      </c>
    </row>
    <row r="25" ht="15.75" customHeight="1">
      <c r="C25" s="5">
        <v>45860.0</v>
      </c>
      <c r="D25" s="6" t="str">
        <f t="shared" si="1"/>
        <v>ter.</v>
      </c>
      <c r="E25" s="7"/>
      <c r="F25" s="8"/>
      <c r="G25" s="9">
        <v>11582.15</v>
      </c>
    </row>
    <row r="26" ht="15.75" customHeight="1">
      <c r="C26" s="5">
        <v>45861.0</v>
      </c>
      <c r="D26" s="6" t="str">
        <f t="shared" si="1"/>
        <v>qua.</v>
      </c>
      <c r="E26" s="7"/>
      <c r="F26" s="8"/>
      <c r="G26" s="9">
        <v>13493.98</v>
      </c>
    </row>
    <row r="27" ht="15.75" customHeight="1">
      <c r="C27" s="5">
        <v>45862.0</v>
      </c>
      <c r="D27" s="6" t="str">
        <f t="shared" si="1"/>
        <v>qui.</v>
      </c>
      <c r="E27" s="7"/>
      <c r="F27" s="8"/>
      <c r="G27" s="9">
        <v>19831.18</v>
      </c>
    </row>
    <row r="28" ht="15.75" customHeight="1">
      <c r="C28" s="5">
        <v>45863.0</v>
      </c>
      <c r="D28" s="6" t="str">
        <f t="shared" si="1"/>
        <v>sex.</v>
      </c>
      <c r="E28" s="7"/>
      <c r="F28" s="8"/>
      <c r="G28" s="9">
        <v>26415.94</v>
      </c>
    </row>
    <row r="29" ht="15.75" customHeight="1">
      <c r="C29" s="5">
        <v>45864.0</v>
      </c>
      <c r="D29" s="6" t="str">
        <f t="shared" si="1"/>
        <v>sáb.</v>
      </c>
      <c r="E29" s="7"/>
      <c r="F29" s="8"/>
      <c r="G29" s="9">
        <v>35567.42</v>
      </c>
    </row>
    <row r="30" ht="15.75" customHeight="1">
      <c r="C30" s="5">
        <v>45865.0</v>
      </c>
      <c r="D30" s="6" t="str">
        <f t="shared" si="1"/>
        <v>dom.</v>
      </c>
      <c r="E30" s="7"/>
      <c r="F30" s="8"/>
      <c r="G30" s="9">
        <v>45993.15</v>
      </c>
    </row>
    <row r="31" ht="15.75" customHeight="1">
      <c r="C31" s="5">
        <v>45866.0</v>
      </c>
      <c r="D31" s="6" t="str">
        <f t="shared" si="1"/>
        <v>seg.</v>
      </c>
      <c r="E31" s="7"/>
      <c r="F31" s="8"/>
      <c r="G31" s="9">
        <v>12244.46</v>
      </c>
    </row>
    <row r="32" ht="15.75" customHeight="1">
      <c r="C32" s="5">
        <v>45867.0</v>
      </c>
      <c r="D32" s="6" t="str">
        <f t="shared" si="1"/>
        <v>ter.</v>
      </c>
      <c r="E32" s="7"/>
      <c r="F32" s="8"/>
      <c r="G32" s="9">
        <v>13806.82</v>
      </c>
    </row>
    <row r="33" ht="15.75" customHeight="1">
      <c r="C33" s="5">
        <v>45868.0</v>
      </c>
      <c r="D33" s="6" t="str">
        <f t="shared" si="1"/>
        <v>qua.</v>
      </c>
      <c r="E33" s="7"/>
      <c r="F33" s="8"/>
      <c r="G33" s="9">
        <v>21460.5</v>
      </c>
    </row>
    <row r="34" ht="15.75" customHeight="1">
      <c r="C34" s="5">
        <v>45869.0</v>
      </c>
      <c r="D34" s="6" t="str">
        <f t="shared" si="1"/>
        <v>qui.</v>
      </c>
      <c r="E34" s="10"/>
      <c r="F34" s="11"/>
      <c r="G34" s="9">
        <v>16909.37</v>
      </c>
    </row>
    <row r="35" ht="15.75" customHeight="1">
      <c r="E35" s="12">
        <v>360653.42</v>
      </c>
      <c r="F35" s="13">
        <v>328317.7</v>
      </c>
      <c r="G35" s="14">
        <f>F35+E35</f>
        <v>688971.12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0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45870.0</v>
      </c>
      <c r="D4" s="6" t="str">
        <f t="shared" ref="D4:D34" si="1">TEXT(C4,"ddd")</f>
        <v>sex.</v>
      </c>
      <c r="E4" s="7"/>
      <c r="F4" s="8"/>
      <c r="G4" s="9">
        <v>31551.71</v>
      </c>
    </row>
    <row r="5" ht="15.75" customHeight="1">
      <c r="C5" s="5">
        <v>45871.0</v>
      </c>
      <c r="D5" s="6" t="str">
        <f t="shared" si="1"/>
        <v>sáb.</v>
      </c>
      <c r="E5" s="7"/>
      <c r="F5" s="8"/>
      <c r="G5" s="9">
        <v>31714.63</v>
      </c>
    </row>
    <row r="6" ht="15.75" customHeight="1">
      <c r="C6" s="5">
        <v>45872.0</v>
      </c>
      <c r="D6" s="6" t="str">
        <f t="shared" si="1"/>
        <v>dom.</v>
      </c>
      <c r="E6" s="7"/>
      <c r="F6" s="8"/>
      <c r="G6" s="9">
        <v>45214.73</v>
      </c>
    </row>
    <row r="7" ht="15.75" customHeight="1">
      <c r="C7" s="5">
        <v>45873.0</v>
      </c>
      <c r="D7" s="6" t="str">
        <f t="shared" si="1"/>
        <v>seg.</v>
      </c>
      <c r="E7" s="7"/>
      <c r="F7" s="8"/>
      <c r="G7" s="9">
        <v>7127.97</v>
      </c>
    </row>
    <row r="8" ht="15.75" customHeight="1">
      <c r="C8" s="5">
        <v>45874.0</v>
      </c>
      <c r="D8" s="6" t="str">
        <f t="shared" si="1"/>
        <v>ter.</v>
      </c>
      <c r="E8" s="7"/>
      <c r="F8" s="8"/>
      <c r="G8" s="9">
        <v>13869.12</v>
      </c>
    </row>
    <row r="9" ht="15.75" customHeight="1">
      <c r="C9" s="5">
        <v>45875.0</v>
      </c>
      <c r="D9" s="6" t="str">
        <f t="shared" si="1"/>
        <v>qua.</v>
      </c>
      <c r="E9" s="7"/>
      <c r="F9" s="8"/>
      <c r="G9" s="9">
        <v>12380.59</v>
      </c>
    </row>
    <row r="10" ht="15.75" customHeight="1">
      <c r="C10" s="5">
        <v>45876.0</v>
      </c>
      <c r="D10" s="6" t="str">
        <f t="shared" si="1"/>
        <v>qui.</v>
      </c>
      <c r="E10" s="7"/>
      <c r="F10" s="8"/>
      <c r="G10" s="9">
        <v>11691.37</v>
      </c>
    </row>
    <row r="11" ht="15.75" customHeight="1">
      <c r="C11" s="5">
        <v>45877.0</v>
      </c>
      <c r="D11" s="6" t="str">
        <f t="shared" si="1"/>
        <v>sex.</v>
      </c>
      <c r="E11" s="7"/>
      <c r="F11" s="8"/>
      <c r="G11" s="9">
        <v>27723.5</v>
      </c>
    </row>
    <row r="12" ht="15.75" customHeight="1">
      <c r="C12" s="5">
        <v>45878.0</v>
      </c>
      <c r="D12" s="6" t="str">
        <f t="shared" si="1"/>
        <v>sáb.</v>
      </c>
      <c r="E12" s="7"/>
      <c r="F12" s="8"/>
      <c r="G12" s="9">
        <v>29128.16</v>
      </c>
    </row>
    <row r="13" ht="15.75" customHeight="1">
      <c r="C13" s="5">
        <v>45879.0</v>
      </c>
      <c r="D13" s="6" t="str">
        <f t="shared" si="1"/>
        <v>dom.</v>
      </c>
      <c r="E13" s="7"/>
      <c r="F13" s="8"/>
      <c r="G13" s="9">
        <v>51823.24</v>
      </c>
    </row>
    <row r="14" ht="15.75" customHeight="1">
      <c r="C14" s="5">
        <v>45880.0</v>
      </c>
      <c r="D14" s="6" t="str">
        <f t="shared" si="1"/>
        <v>seg.</v>
      </c>
      <c r="E14" s="7"/>
      <c r="F14" s="8"/>
      <c r="G14" s="9">
        <v>8897.16</v>
      </c>
    </row>
    <row r="15" ht="15.75" customHeight="1">
      <c r="C15" s="5">
        <v>45881.0</v>
      </c>
      <c r="D15" s="6" t="str">
        <f t="shared" si="1"/>
        <v>ter.</v>
      </c>
      <c r="E15" s="7"/>
      <c r="F15" s="8"/>
      <c r="G15" s="9">
        <v>13754.04</v>
      </c>
    </row>
    <row r="16" ht="15.75" customHeight="1">
      <c r="C16" s="5">
        <v>45882.0</v>
      </c>
      <c r="D16" s="6" t="str">
        <f t="shared" si="1"/>
        <v>qua.</v>
      </c>
      <c r="E16" s="7"/>
      <c r="F16" s="8"/>
      <c r="G16" s="9">
        <v>10152.6</v>
      </c>
    </row>
    <row r="17" ht="15.75" customHeight="1">
      <c r="C17" s="5">
        <v>45883.0</v>
      </c>
      <c r="D17" s="6" t="str">
        <f t="shared" si="1"/>
        <v>qui.</v>
      </c>
      <c r="E17" s="7"/>
      <c r="F17" s="8"/>
      <c r="G17" s="9">
        <v>12561.33</v>
      </c>
    </row>
    <row r="18" ht="15.75" customHeight="1">
      <c r="C18" s="5">
        <v>45884.0</v>
      </c>
      <c r="D18" s="6" t="str">
        <f t="shared" si="1"/>
        <v>sex.</v>
      </c>
      <c r="E18" s="7"/>
      <c r="F18" s="8"/>
      <c r="G18" s="9">
        <v>24907.44</v>
      </c>
    </row>
    <row r="19" ht="15.75" customHeight="1">
      <c r="C19" s="5">
        <v>45885.0</v>
      </c>
      <c r="D19" s="6" t="str">
        <f t="shared" si="1"/>
        <v>sáb.</v>
      </c>
      <c r="E19" s="7"/>
      <c r="F19" s="8"/>
      <c r="G19" s="9">
        <v>37335.01</v>
      </c>
    </row>
    <row r="20" ht="15.75" customHeight="1">
      <c r="C20" s="5">
        <v>45886.0</v>
      </c>
      <c r="D20" s="6" t="str">
        <f t="shared" si="1"/>
        <v>dom.</v>
      </c>
      <c r="E20" s="7"/>
      <c r="F20" s="8"/>
      <c r="G20" s="9">
        <v>39498.14</v>
      </c>
    </row>
    <row r="21" ht="15.75" customHeight="1">
      <c r="C21" s="5">
        <v>45887.0</v>
      </c>
      <c r="D21" s="6" t="str">
        <f t="shared" si="1"/>
        <v>seg.</v>
      </c>
      <c r="E21" s="7"/>
      <c r="F21" s="8"/>
      <c r="G21" s="9">
        <v>11854.1</v>
      </c>
    </row>
    <row r="22" ht="15.75" customHeight="1">
      <c r="C22" s="5">
        <v>45888.0</v>
      </c>
      <c r="D22" s="6" t="str">
        <f t="shared" si="1"/>
        <v>ter.</v>
      </c>
      <c r="E22" s="7"/>
      <c r="F22" s="8"/>
      <c r="G22" s="9">
        <v>12523.7</v>
      </c>
    </row>
    <row r="23" ht="15.75" customHeight="1">
      <c r="C23" s="5">
        <v>45889.0</v>
      </c>
      <c r="D23" s="6" t="str">
        <f t="shared" si="1"/>
        <v>qua.</v>
      </c>
      <c r="E23" s="7"/>
      <c r="F23" s="8"/>
      <c r="G23" s="9">
        <v>11226.29</v>
      </c>
    </row>
    <row r="24" ht="15.75" customHeight="1">
      <c r="C24" s="5">
        <v>45890.0</v>
      </c>
      <c r="D24" s="6" t="str">
        <f t="shared" si="1"/>
        <v>qui.</v>
      </c>
      <c r="E24" s="7"/>
      <c r="F24" s="8"/>
      <c r="G24" s="9">
        <v>15207.98</v>
      </c>
    </row>
    <row r="25" ht="15.75" customHeight="1">
      <c r="C25" s="5">
        <v>45891.0</v>
      </c>
      <c r="D25" s="6" t="str">
        <f t="shared" si="1"/>
        <v>sex.</v>
      </c>
      <c r="E25" s="7"/>
      <c r="F25" s="8"/>
      <c r="G25" s="9">
        <v>26015.93</v>
      </c>
    </row>
    <row r="26" ht="15.75" customHeight="1">
      <c r="C26" s="5">
        <v>45892.0</v>
      </c>
      <c r="D26" s="6" t="str">
        <f t="shared" si="1"/>
        <v>sáb.</v>
      </c>
      <c r="E26" s="7"/>
      <c r="F26" s="8"/>
      <c r="G26" s="9">
        <v>34749.97</v>
      </c>
    </row>
    <row r="27" ht="15.75" customHeight="1">
      <c r="C27" s="5">
        <v>45893.0</v>
      </c>
      <c r="D27" s="6" t="str">
        <f t="shared" si="1"/>
        <v>dom.</v>
      </c>
      <c r="E27" s="7"/>
      <c r="F27" s="8"/>
      <c r="G27" s="9">
        <v>43916.08</v>
      </c>
    </row>
    <row r="28" ht="15.75" customHeight="1">
      <c r="C28" s="5">
        <v>45894.0</v>
      </c>
      <c r="D28" s="6" t="str">
        <f t="shared" si="1"/>
        <v>seg.</v>
      </c>
      <c r="E28" s="7"/>
      <c r="F28" s="8"/>
      <c r="G28" s="9">
        <v>8790.3</v>
      </c>
    </row>
    <row r="29" ht="15.75" customHeight="1">
      <c r="C29" s="5">
        <v>45895.0</v>
      </c>
      <c r="D29" s="6" t="str">
        <f t="shared" si="1"/>
        <v>ter.</v>
      </c>
      <c r="E29" s="7"/>
      <c r="F29" s="8"/>
      <c r="G29" s="9">
        <v>11003.36</v>
      </c>
    </row>
    <row r="30" ht="15.75" customHeight="1">
      <c r="C30" s="5">
        <v>45896.0</v>
      </c>
      <c r="D30" s="6" t="str">
        <f t="shared" si="1"/>
        <v>qua.</v>
      </c>
      <c r="E30" s="7"/>
      <c r="F30" s="8"/>
      <c r="G30" s="9">
        <v>13978.26</v>
      </c>
    </row>
    <row r="31" ht="15.75" customHeight="1">
      <c r="C31" s="5">
        <v>45897.0</v>
      </c>
      <c r="D31" s="6" t="str">
        <f t="shared" si="1"/>
        <v>qui.</v>
      </c>
      <c r="E31" s="7"/>
      <c r="F31" s="8"/>
      <c r="G31" s="9">
        <v>14324.51</v>
      </c>
    </row>
    <row r="32" ht="15.75" customHeight="1">
      <c r="C32" s="5">
        <v>45898.0</v>
      </c>
      <c r="D32" s="6" t="str">
        <f t="shared" si="1"/>
        <v>sex.</v>
      </c>
      <c r="E32" s="7"/>
      <c r="F32" s="8"/>
      <c r="G32" s="9">
        <v>25046.86</v>
      </c>
    </row>
    <row r="33" ht="15.75" customHeight="1">
      <c r="C33" s="5">
        <v>45899.0</v>
      </c>
      <c r="D33" s="6" t="str">
        <f t="shared" si="1"/>
        <v>sáb.</v>
      </c>
      <c r="E33" s="7"/>
      <c r="F33" s="8"/>
      <c r="G33" s="9">
        <v>36135.63</v>
      </c>
    </row>
    <row r="34" ht="15.75" customHeight="1">
      <c r="C34" s="5">
        <v>45900.0</v>
      </c>
      <c r="D34" s="6" t="str">
        <f t="shared" si="1"/>
        <v>dom.</v>
      </c>
      <c r="E34" s="10"/>
      <c r="F34" s="11"/>
      <c r="G34" s="9">
        <v>45545.15</v>
      </c>
    </row>
    <row r="35" ht="15.75" customHeight="1">
      <c r="E35" s="12">
        <v>376950.97</v>
      </c>
      <c r="F35" s="13">
        <v>342697.89</v>
      </c>
      <c r="G35" s="14">
        <f>F35+E35</f>
        <v>719648.86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45901.0</v>
      </c>
      <c r="D4" s="6" t="str">
        <f t="shared" ref="D4:D33" si="1">TEXT(C4,"ddd")</f>
        <v>seg.</v>
      </c>
      <c r="E4" s="7"/>
      <c r="F4" s="8"/>
      <c r="G4" s="9">
        <v>11397.09</v>
      </c>
    </row>
    <row r="5" ht="15.75" customHeight="1">
      <c r="C5" s="5">
        <v>45902.0</v>
      </c>
      <c r="D5" s="6" t="str">
        <f t="shared" si="1"/>
        <v>ter.</v>
      </c>
      <c r="E5" s="7"/>
      <c r="F5" s="8"/>
      <c r="G5" s="9">
        <v>11528.34</v>
      </c>
    </row>
    <row r="6" ht="15.75" customHeight="1">
      <c r="C6" s="5">
        <v>45903.0</v>
      </c>
      <c r="D6" s="6" t="str">
        <f t="shared" si="1"/>
        <v>qua.</v>
      </c>
      <c r="E6" s="7"/>
      <c r="F6" s="8"/>
      <c r="G6" s="9">
        <v>11474.72</v>
      </c>
    </row>
    <row r="7" ht="15.75" customHeight="1">
      <c r="C7" s="5">
        <v>45904.0</v>
      </c>
      <c r="D7" s="6" t="str">
        <f t="shared" si="1"/>
        <v>qui.</v>
      </c>
      <c r="E7" s="7"/>
      <c r="F7" s="8"/>
      <c r="G7" s="9">
        <v>21887.7</v>
      </c>
    </row>
    <row r="8" ht="15.75" customHeight="1">
      <c r="C8" s="5">
        <v>45905.0</v>
      </c>
      <c r="D8" s="6" t="str">
        <f t="shared" si="1"/>
        <v>sex.</v>
      </c>
      <c r="E8" s="7"/>
      <c r="F8" s="8"/>
      <c r="G8" s="9">
        <v>31391.94</v>
      </c>
    </row>
    <row r="9" ht="15.75" customHeight="1">
      <c r="C9" s="5">
        <v>45906.0</v>
      </c>
      <c r="D9" s="6" t="str">
        <f t="shared" si="1"/>
        <v>sáb.</v>
      </c>
      <c r="E9" s="7"/>
      <c r="F9" s="8"/>
      <c r="G9" s="9">
        <v>31519.74</v>
      </c>
    </row>
    <row r="10" ht="15.75" customHeight="1">
      <c r="C10" s="5">
        <v>45907.0</v>
      </c>
      <c r="D10" s="6" t="str">
        <f t="shared" si="1"/>
        <v>dom.</v>
      </c>
      <c r="E10" s="7"/>
      <c r="F10" s="8"/>
      <c r="G10" s="9">
        <v>38180.33</v>
      </c>
    </row>
    <row r="11" ht="15.75" customHeight="1">
      <c r="C11" s="5">
        <v>45908.0</v>
      </c>
      <c r="D11" s="6" t="str">
        <f t="shared" si="1"/>
        <v>seg.</v>
      </c>
      <c r="E11" s="7"/>
      <c r="F11" s="8"/>
      <c r="G11" s="9">
        <v>7831.54</v>
      </c>
    </row>
    <row r="12" ht="15.75" customHeight="1">
      <c r="C12" s="5">
        <v>45909.0</v>
      </c>
      <c r="D12" s="6" t="str">
        <f t="shared" si="1"/>
        <v>ter.</v>
      </c>
      <c r="E12" s="7"/>
      <c r="F12" s="8"/>
      <c r="G12" s="9">
        <v>13341.3</v>
      </c>
    </row>
    <row r="13" ht="15.75" customHeight="1">
      <c r="C13" s="5">
        <v>45910.0</v>
      </c>
      <c r="D13" s="6" t="str">
        <f t="shared" si="1"/>
        <v>qua.</v>
      </c>
      <c r="E13" s="7"/>
      <c r="F13" s="8"/>
      <c r="G13" s="9">
        <v>12670.33</v>
      </c>
    </row>
    <row r="14" ht="15.75" customHeight="1">
      <c r="C14" s="5">
        <v>45911.0</v>
      </c>
      <c r="D14" s="6" t="str">
        <f t="shared" si="1"/>
        <v>qui.</v>
      </c>
      <c r="E14" s="7"/>
      <c r="F14" s="8"/>
      <c r="G14" s="9">
        <v>14654.7</v>
      </c>
    </row>
    <row r="15" ht="15.75" customHeight="1">
      <c r="C15" s="5">
        <v>45912.0</v>
      </c>
      <c r="D15" s="6" t="str">
        <f t="shared" si="1"/>
        <v>sex.</v>
      </c>
      <c r="E15" s="7"/>
      <c r="F15" s="8"/>
      <c r="G15" s="9">
        <v>19503.01</v>
      </c>
    </row>
    <row r="16" ht="15.75" customHeight="1">
      <c r="C16" s="5">
        <v>45913.0</v>
      </c>
      <c r="D16" s="6" t="str">
        <f t="shared" si="1"/>
        <v>sáb.</v>
      </c>
      <c r="E16" s="7"/>
      <c r="F16" s="8"/>
      <c r="G16" s="9">
        <v>31966.64</v>
      </c>
    </row>
    <row r="17" ht="15.75" customHeight="1">
      <c r="C17" s="5">
        <v>45914.0</v>
      </c>
      <c r="D17" s="6" t="str">
        <f t="shared" si="1"/>
        <v>dom.</v>
      </c>
      <c r="E17" s="7"/>
      <c r="F17" s="8"/>
      <c r="G17" s="9">
        <v>39035.96</v>
      </c>
    </row>
    <row r="18" ht="15.75" customHeight="1">
      <c r="C18" s="5">
        <v>45915.0</v>
      </c>
      <c r="D18" s="6" t="str">
        <f t="shared" si="1"/>
        <v>seg.</v>
      </c>
      <c r="E18" s="7"/>
      <c r="F18" s="8"/>
      <c r="G18" s="9">
        <v>7921.05</v>
      </c>
    </row>
    <row r="19" ht="15.75" customHeight="1">
      <c r="C19" s="5">
        <v>45916.0</v>
      </c>
      <c r="D19" s="6" t="str">
        <f t="shared" si="1"/>
        <v>ter.</v>
      </c>
      <c r="E19" s="7"/>
      <c r="F19" s="8"/>
      <c r="G19" s="9">
        <v>8645.18</v>
      </c>
    </row>
    <row r="20" ht="15.75" customHeight="1">
      <c r="C20" s="5">
        <v>45917.0</v>
      </c>
      <c r="D20" s="6" t="str">
        <f t="shared" si="1"/>
        <v>qua.</v>
      </c>
      <c r="E20" s="7"/>
      <c r="F20" s="8"/>
      <c r="G20" s="9">
        <v>19658.88</v>
      </c>
    </row>
    <row r="21" ht="15.75" customHeight="1">
      <c r="C21" s="5">
        <v>45918.0</v>
      </c>
      <c r="D21" s="6" t="str">
        <f t="shared" si="1"/>
        <v>qui.</v>
      </c>
      <c r="E21" s="7"/>
      <c r="F21" s="8"/>
      <c r="G21" s="9">
        <v>11870.89</v>
      </c>
    </row>
    <row r="22" ht="15.75" customHeight="1">
      <c r="C22" s="5">
        <v>45919.0</v>
      </c>
      <c r="D22" s="6" t="str">
        <f t="shared" si="1"/>
        <v>sex.</v>
      </c>
      <c r="E22" s="7"/>
      <c r="F22" s="8"/>
      <c r="G22" s="9">
        <v>23431.04</v>
      </c>
    </row>
    <row r="23" ht="15.75" customHeight="1">
      <c r="C23" s="5">
        <v>45920.0</v>
      </c>
      <c r="D23" s="6" t="str">
        <f t="shared" si="1"/>
        <v>sáb.</v>
      </c>
      <c r="E23" s="7"/>
      <c r="F23" s="8"/>
      <c r="G23" s="9">
        <v>37263.57</v>
      </c>
    </row>
    <row r="24" ht="15.75" customHeight="1">
      <c r="C24" s="5">
        <v>45921.0</v>
      </c>
      <c r="D24" s="6" t="str">
        <f t="shared" si="1"/>
        <v>dom.</v>
      </c>
      <c r="E24" s="7"/>
      <c r="F24" s="8"/>
      <c r="G24" s="9">
        <v>38424.57</v>
      </c>
    </row>
    <row r="25" ht="15.75" customHeight="1">
      <c r="C25" s="5">
        <v>45922.0</v>
      </c>
      <c r="D25" s="6" t="str">
        <f t="shared" si="1"/>
        <v>seg.</v>
      </c>
      <c r="E25" s="7"/>
      <c r="F25" s="8"/>
      <c r="G25" s="9">
        <v>8049.02</v>
      </c>
    </row>
    <row r="26" ht="15.75" customHeight="1">
      <c r="C26" s="5">
        <v>45923.0</v>
      </c>
      <c r="D26" s="6" t="str">
        <f t="shared" si="1"/>
        <v>ter.</v>
      </c>
      <c r="E26" s="7"/>
      <c r="F26" s="8"/>
      <c r="G26" s="9">
        <v>10138.49</v>
      </c>
    </row>
    <row r="27" ht="15.75" customHeight="1">
      <c r="C27" s="5">
        <v>45924.0</v>
      </c>
      <c r="D27" s="6" t="str">
        <f t="shared" si="1"/>
        <v>qua.</v>
      </c>
      <c r="E27" s="7"/>
      <c r="F27" s="8"/>
      <c r="G27" s="9">
        <v>16334.08</v>
      </c>
    </row>
    <row r="28" ht="15.75" customHeight="1">
      <c r="C28" s="5">
        <v>45925.0</v>
      </c>
      <c r="D28" s="6" t="str">
        <f t="shared" si="1"/>
        <v>qui.</v>
      </c>
      <c r="E28" s="7"/>
      <c r="F28" s="8"/>
      <c r="G28" s="9">
        <v>11051.82</v>
      </c>
    </row>
    <row r="29" ht="15.75" customHeight="1">
      <c r="C29" s="5">
        <v>45926.0</v>
      </c>
      <c r="D29" s="6" t="str">
        <f t="shared" si="1"/>
        <v>sex.</v>
      </c>
      <c r="E29" s="7"/>
      <c r="F29" s="8"/>
      <c r="G29" s="9">
        <v>25912.6</v>
      </c>
    </row>
    <row r="30" ht="15.75" customHeight="1">
      <c r="C30" s="5">
        <v>45927.0</v>
      </c>
      <c r="D30" s="6" t="str">
        <f t="shared" si="1"/>
        <v>sáb.</v>
      </c>
      <c r="E30" s="7"/>
      <c r="F30" s="8"/>
      <c r="G30" s="9">
        <v>35662.32</v>
      </c>
    </row>
    <row r="31" ht="15.75" customHeight="1">
      <c r="C31" s="5">
        <v>45928.0</v>
      </c>
      <c r="D31" s="6" t="str">
        <f t="shared" si="1"/>
        <v>dom.</v>
      </c>
      <c r="E31" s="7"/>
      <c r="F31" s="8"/>
      <c r="G31" s="9">
        <v>39647.6</v>
      </c>
    </row>
    <row r="32" ht="15.75" customHeight="1">
      <c r="C32" s="5">
        <v>45929.0</v>
      </c>
      <c r="D32" s="6" t="str">
        <f t="shared" si="1"/>
        <v>seg.</v>
      </c>
      <c r="E32" s="7"/>
      <c r="F32" s="8"/>
      <c r="G32" s="9">
        <v>6876.28</v>
      </c>
    </row>
    <row r="33" ht="15.75" customHeight="1">
      <c r="C33" s="5">
        <v>45930.0</v>
      </c>
      <c r="D33" s="6" t="str">
        <f t="shared" si="1"/>
        <v>ter.</v>
      </c>
      <c r="E33" s="7"/>
      <c r="F33" s="8"/>
      <c r="G33" s="9">
        <v>9688.77</v>
      </c>
    </row>
    <row r="34" ht="15.75" customHeight="1">
      <c r="C34" s="5"/>
      <c r="D34" s="6"/>
      <c r="E34" s="10"/>
      <c r="F34" s="11"/>
      <c r="G34" s="9"/>
    </row>
    <row r="35" ht="15.75" customHeight="1">
      <c r="E35" s="12">
        <v>318500.6</v>
      </c>
      <c r="F35" s="13">
        <v>288458.9</v>
      </c>
      <c r="G35" s="14">
        <f>F35+E35</f>
        <v>606959.5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C4" s="5">
        <v>45931.0</v>
      </c>
      <c r="D4" s="6" t="str">
        <f t="shared" ref="D4:D34" si="1">TEXT(C4,"ddd")</f>
        <v>qua.</v>
      </c>
      <c r="E4" s="7"/>
      <c r="F4" s="8"/>
      <c r="G4" s="9">
        <v>13543.84</v>
      </c>
    </row>
    <row r="5" ht="15.75" customHeight="1">
      <c r="C5" s="5">
        <v>45932.0</v>
      </c>
      <c r="D5" s="6" t="str">
        <f t="shared" si="1"/>
        <v>qui.</v>
      </c>
      <c r="E5" s="7"/>
      <c r="F5" s="8"/>
      <c r="G5" s="9">
        <v>11358.34</v>
      </c>
    </row>
    <row r="6" ht="15.75" customHeight="1">
      <c r="C6" s="5">
        <v>45933.0</v>
      </c>
      <c r="D6" s="6" t="str">
        <f t="shared" si="1"/>
        <v>sex.</v>
      </c>
      <c r="E6" s="7"/>
      <c r="F6" s="8"/>
      <c r="G6" s="9">
        <v>21835.65</v>
      </c>
    </row>
    <row r="7" ht="15.75" customHeight="1">
      <c r="C7" s="5">
        <v>45934.0</v>
      </c>
      <c r="D7" s="6" t="str">
        <f t="shared" si="1"/>
        <v>sáb.</v>
      </c>
      <c r="E7" s="7"/>
      <c r="F7" s="8"/>
      <c r="G7" s="9">
        <v>35653.32</v>
      </c>
    </row>
    <row r="8" ht="15.75" customHeight="1">
      <c r="C8" s="5">
        <v>45935.0</v>
      </c>
      <c r="D8" s="6" t="str">
        <f t="shared" si="1"/>
        <v>dom.</v>
      </c>
      <c r="E8" s="7"/>
      <c r="F8" s="8"/>
      <c r="G8" s="9">
        <v>36883.18</v>
      </c>
    </row>
    <row r="9" ht="15.75" customHeight="1">
      <c r="C9" s="5">
        <v>45936.0</v>
      </c>
      <c r="D9" s="6" t="str">
        <f t="shared" si="1"/>
        <v>seg.</v>
      </c>
      <c r="E9" s="7"/>
      <c r="F9" s="8"/>
      <c r="G9" s="9">
        <v>6271.95</v>
      </c>
    </row>
    <row r="10" ht="15.75" customHeight="1">
      <c r="C10" s="5">
        <v>45937.0</v>
      </c>
      <c r="D10" s="6" t="str">
        <f t="shared" si="1"/>
        <v>ter.</v>
      </c>
      <c r="E10" s="7"/>
      <c r="F10" s="8"/>
      <c r="G10" s="9">
        <v>9294.99</v>
      </c>
    </row>
    <row r="11" ht="15.75" customHeight="1">
      <c r="C11" s="5">
        <v>45938.0</v>
      </c>
      <c r="D11" s="6" t="str">
        <f t="shared" si="1"/>
        <v>qua.</v>
      </c>
      <c r="E11" s="7"/>
      <c r="F11" s="8"/>
      <c r="G11" s="9">
        <v>10850.56</v>
      </c>
    </row>
    <row r="12" ht="15.75" customHeight="1">
      <c r="C12" s="5">
        <v>45939.0</v>
      </c>
      <c r="D12" s="6" t="str">
        <f t="shared" si="1"/>
        <v>qui.</v>
      </c>
      <c r="E12" s="7"/>
      <c r="F12" s="8"/>
      <c r="G12" s="9">
        <v>10195.82</v>
      </c>
    </row>
    <row r="13" ht="15.75" customHeight="1">
      <c r="C13" s="5">
        <v>45940.0</v>
      </c>
      <c r="D13" s="6" t="str">
        <f t="shared" si="1"/>
        <v>sex.</v>
      </c>
      <c r="E13" s="7"/>
      <c r="F13" s="8"/>
      <c r="G13" s="9">
        <v>24282.95</v>
      </c>
    </row>
    <row r="14" ht="15.75" customHeight="1">
      <c r="C14" s="5">
        <v>45941.0</v>
      </c>
      <c r="D14" s="6" t="str">
        <f t="shared" si="1"/>
        <v>sáb.</v>
      </c>
      <c r="E14" s="7"/>
      <c r="F14" s="8"/>
      <c r="G14" s="9">
        <v>35265.94</v>
      </c>
    </row>
    <row r="15" ht="15.75" customHeight="1">
      <c r="C15" s="5">
        <v>45942.0</v>
      </c>
      <c r="D15" s="6" t="str">
        <f t="shared" si="1"/>
        <v>dom.</v>
      </c>
      <c r="E15" s="7"/>
      <c r="F15" s="8"/>
      <c r="G15" s="9">
        <v>47312.91</v>
      </c>
    </row>
    <row r="16" ht="15.75" customHeight="1">
      <c r="C16" s="5">
        <v>45943.0</v>
      </c>
      <c r="D16" s="6" t="str">
        <f t="shared" si="1"/>
        <v>seg.</v>
      </c>
      <c r="E16" s="7"/>
      <c r="F16" s="8"/>
      <c r="G16" s="9">
        <v>8412.86</v>
      </c>
    </row>
    <row r="17" ht="15.75" customHeight="1">
      <c r="C17" s="5">
        <v>45944.0</v>
      </c>
      <c r="D17" s="6" t="str">
        <f t="shared" si="1"/>
        <v>ter.</v>
      </c>
      <c r="E17" s="7"/>
      <c r="F17" s="8"/>
      <c r="G17" s="9">
        <v>8946.75</v>
      </c>
    </row>
    <row r="18" ht="15.75" customHeight="1">
      <c r="C18" s="5">
        <v>45945.0</v>
      </c>
      <c r="D18" s="6" t="str">
        <f t="shared" si="1"/>
        <v>qua.</v>
      </c>
      <c r="E18" s="7"/>
      <c r="F18" s="8"/>
      <c r="G18" s="9">
        <v>12483.54</v>
      </c>
    </row>
    <row r="19" ht="15.75" customHeight="1">
      <c r="C19" s="5">
        <v>45946.0</v>
      </c>
      <c r="D19" s="6" t="str">
        <f t="shared" si="1"/>
        <v>qui.</v>
      </c>
      <c r="E19" s="7"/>
      <c r="F19" s="8"/>
      <c r="G19" s="9">
        <v>8913.63</v>
      </c>
    </row>
    <row r="20" ht="15.75" customHeight="1">
      <c r="C20" s="5">
        <v>45947.0</v>
      </c>
      <c r="D20" s="6" t="str">
        <f t="shared" si="1"/>
        <v>sex.</v>
      </c>
      <c r="E20" s="7"/>
      <c r="F20" s="8"/>
      <c r="G20" s="9">
        <v>23119.11</v>
      </c>
    </row>
    <row r="21" ht="15.75" customHeight="1">
      <c r="C21" s="5">
        <v>45948.0</v>
      </c>
      <c r="D21" s="6" t="str">
        <f t="shared" si="1"/>
        <v>sáb.</v>
      </c>
      <c r="E21" s="7"/>
      <c r="F21" s="8"/>
      <c r="G21" s="9">
        <v>36168.78</v>
      </c>
    </row>
    <row r="22" ht="15.75" customHeight="1">
      <c r="C22" s="5">
        <v>45949.0</v>
      </c>
      <c r="D22" s="6" t="str">
        <f t="shared" si="1"/>
        <v>dom.</v>
      </c>
      <c r="E22" s="7"/>
      <c r="F22" s="8"/>
      <c r="G22" s="9">
        <v>31946.38</v>
      </c>
    </row>
    <row r="23" ht="15.75" customHeight="1">
      <c r="C23" s="5">
        <v>45950.0</v>
      </c>
      <c r="D23" s="6" t="str">
        <f t="shared" si="1"/>
        <v>seg.</v>
      </c>
      <c r="E23" s="7"/>
      <c r="F23" s="8"/>
      <c r="G23" s="9">
        <v>7529.86</v>
      </c>
    </row>
    <row r="24" ht="15.75" customHeight="1">
      <c r="C24" s="5">
        <v>45951.0</v>
      </c>
      <c r="D24" s="6" t="str">
        <f t="shared" si="1"/>
        <v>ter.</v>
      </c>
      <c r="E24" s="7"/>
      <c r="F24" s="8"/>
      <c r="G24" s="9">
        <v>6641.47</v>
      </c>
    </row>
    <row r="25" ht="15.75" customHeight="1">
      <c r="C25" s="5">
        <v>45952.0</v>
      </c>
      <c r="D25" s="6" t="str">
        <f t="shared" si="1"/>
        <v>qua.</v>
      </c>
      <c r="E25" s="7"/>
      <c r="F25" s="8"/>
      <c r="G25" s="9">
        <v>15349.27</v>
      </c>
    </row>
    <row r="26" ht="15.75" customHeight="1">
      <c r="C26" s="5">
        <v>45953.0</v>
      </c>
      <c r="D26" s="6" t="str">
        <f t="shared" si="1"/>
        <v>qui.</v>
      </c>
      <c r="E26" s="7"/>
      <c r="F26" s="8"/>
      <c r="G26" s="9">
        <v>20366.81</v>
      </c>
    </row>
    <row r="27" ht="15.75" customHeight="1">
      <c r="C27" s="5">
        <v>45954.0</v>
      </c>
      <c r="D27" s="6" t="str">
        <f t="shared" si="1"/>
        <v>sex.</v>
      </c>
      <c r="E27" s="7"/>
      <c r="F27" s="8"/>
      <c r="G27" s="9">
        <v>27429.75</v>
      </c>
    </row>
    <row r="28" ht="15.75" customHeight="1">
      <c r="C28" s="5">
        <v>45955.0</v>
      </c>
      <c r="D28" s="6" t="str">
        <f t="shared" si="1"/>
        <v>sáb.</v>
      </c>
      <c r="E28" s="7"/>
      <c r="F28" s="8"/>
      <c r="G28" s="9">
        <v>30947.35</v>
      </c>
    </row>
    <row r="29" ht="15.75" customHeight="1">
      <c r="C29" s="5">
        <v>45956.0</v>
      </c>
      <c r="D29" s="6" t="str">
        <f t="shared" si="1"/>
        <v>dom.</v>
      </c>
      <c r="E29" s="7"/>
      <c r="F29" s="8"/>
      <c r="G29" s="9">
        <v>43976.21</v>
      </c>
    </row>
    <row r="30" ht="15.75" customHeight="1">
      <c r="C30" s="5">
        <v>45957.0</v>
      </c>
      <c r="D30" s="6" t="str">
        <f t="shared" si="1"/>
        <v>seg.</v>
      </c>
      <c r="E30" s="7"/>
      <c r="F30" s="8"/>
      <c r="G30" s="9">
        <v>15417.61</v>
      </c>
    </row>
    <row r="31" ht="15.75" customHeight="1">
      <c r="C31" s="5">
        <v>45958.0</v>
      </c>
      <c r="D31" s="6" t="str">
        <f t="shared" si="1"/>
        <v>ter.</v>
      </c>
      <c r="E31" s="7"/>
      <c r="F31" s="8"/>
      <c r="G31" s="9">
        <v>11201.31</v>
      </c>
    </row>
    <row r="32" ht="15.75" customHeight="1">
      <c r="C32" s="5">
        <v>45959.0</v>
      </c>
      <c r="D32" s="6" t="str">
        <f t="shared" si="1"/>
        <v>qua.</v>
      </c>
      <c r="E32" s="7"/>
      <c r="F32" s="8"/>
      <c r="G32" s="9">
        <v>7861.76</v>
      </c>
    </row>
    <row r="33" ht="15.75" customHeight="1">
      <c r="C33" s="5">
        <v>45960.0</v>
      </c>
      <c r="D33" s="6" t="str">
        <f t="shared" si="1"/>
        <v>qui.</v>
      </c>
      <c r="E33" s="7"/>
      <c r="F33" s="8"/>
      <c r="G33" s="9">
        <v>10043.97</v>
      </c>
    </row>
    <row r="34" ht="15.75" customHeight="1">
      <c r="C34" s="5">
        <v>45961.0</v>
      </c>
      <c r="D34" s="6" t="str">
        <f t="shared" si="1"/>
        <v>sex.</v>
      </c>
      <c r="E34" s="10"/>
      <c r="F34" s="11"/>
      <c r="G34" s="9">
        <v>27714.05</v>
      </c>
    </row>
    <row r="35" ht="15.75" customHeight="1">
      <c r="E35" s="12">
        <v>340746.31</v>
      </c>
      <c r="F35" s="13">
        <v>276473.61</v>
      </c>
      <c r="G35" s="14">
        <f>F35+E35</f>
        <v>617219.92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5">
        <v>45962.0</v>
      </c>
      <c r="D4" s="6" t="str">
        <f t="shared" ref="D4:D33" si="1">TEXT(C4,"ddd")</f>
        <v>sáb.</v>
      </c>
      <c r="E4" s="7">
        <v>22000.0</v>
      </c>
      <c r="F4" s="8">
        <v>15000.0</v>
      </c>
      <c r="G4" s="14">
        <f t="shared" ref="G4:G34" si="2">E4+F4</f>
        <v>37000</v>
      </c>
    </row>
    <row r="5" ht="15.75" customHeight="1">
      <c r="A5" s="1"/>
      <c r="B5" s="1"/>
      <c r="C5" s="5">
        <v>45963.0</v>
      </c>
      <c r="D5" s="6" t="str">
        <f t="shared" si="1"/>
        <v>dom.</v>
      </c>
      <c r="E5" s="7">
        <v>21500.0</v>
      </c>
      <c r="F5" s="8">
        <v>19000.0</v>
      </c>
      <c r="G5" s="14">
        <f t="shared" si="2"/>
        <v>40500</v>
      </c>
    </row>
    <row r="6" ht="15.75" customHeight="1">
      <c r="A6" s="1"/>
      <c r="B6" s="1"/>
      <c r="C6" s="5">
        <v>45964.0</v>
      </c>
      <c r="D6" s="6" t="str">
        <f t="shared" si="1"/>
        <v>seg.</v>
      </c>
      <c r="E6" s="7">
        <v>6000.0</v>
      </c>
      <c r="F6" s="8">
        <v>4000.0</v>
      </c>
      <c r="G6" s="14">
        <f t="shared" si="2"/>
        <v>10000</v>
      </c>
    </row>
    <row r="7" ht="15.75" customHeight="1">
      <c r="A7" s="1"/>
      <c r="B7" s="1"/>
      <c r="C7" s="5">
        <v>45965.0</v>
      </c>
      <c r="D7" s="6" t="str">
        <f t="shared" si="1"/>
        <v>ter.</v>
      </c>
      <c r="E7" s="7">
        <v>7000.0</v>
      </c>
      <c r="F7" s="8">
        <v>6500.0</v>
      </c>
      <c r="G7" s="14">
        <f t="shared" si="2"/>
        <v>13500</v>
      </c>
    </row>
    <row r="8" ht="15.75" customHeight="1">
      <c r="A8" s="1"/>
      <c r="B8" s="1"/>
      <c r="C8" s="5">
        <v>45966.0</v>
      </c>
      <c r="D8" s="6" t="str">
        <f t="shared" si="1"/>
        <v>qua.</v>
      </c>
      <c r="E8" s="7">
        <v>8000.0</v>
      </c>
      <c r="F8" s="8">
        <v>7000.0</v>
      </c>
      <c r="G8" s="14">
        <f t="shared" si="2"/>
        <v>15000</v>
      </c>
    </row>
    <row r="9" ht="15.75" customHeight="1">
      <c r="A9" s="1"/>
      <c r="B9" s="1"/>
      <c r="C9" s="5">
        <v>45967.0</v>
      </c>
      <c r="D9" s="6" t="str">
        <f t="shared" si="1"/>
        <v>qui.</v>
      </c>
      <c r="E9" s="7">
        <v>9000.0</v>
      </c>
      <c r="F9" s="8">
        <v>6500.0</v>
      </c>
      <c r="G9" s="14">
        <f t="shared" si="2"/>
        <v>15500</v>
      </c>
    </row>
    <row r="10" ht="15.75" customHeight="1">
      <c r="A10" s="1"/>
      <c r="B10" s="1"/>
      <c r="C10" s="5">
        <v>45968.0</v>
      </c>
      <c r="D10" s="6" t="str">
        <f t="shared" si="1"/>
        <v>sex.</v>
      </c>
      <c r="E10" s="7">
        <v>15500.0</v>
      </c>
      <c r="F10" s="8">
        <v>11000.0</v>
      </c>
      <c r="G10" s="14">
        <f t="shared" si="2"/>
        <v>26500</v>
      </c>
    </row>
    <row r="11" ht="15.75" customHeight="1">
      <c r="A11" s="1"/>
      <c r="B11" s="1"/>
      <c r="C11" s="5">
        <v>45969.0</v>
      </c>
      <c r="D11" s="6" t="str">
        <f t="shared" si="1"/>
        <v>sáb.</v>
      </c>
      <c r="E11" s="7">
        <v>22000.0</v>
      </c>
      <c r="F11" s="8">
        <v>15000.0</v>
      </c>
      <c r="G11" s="14">
        <f t="shared" si="2"/>
        <v>37000</v>
      </c>
    </row>
    <row r="12" ht="15.75" customHeight="1">
      <c r="A12" s="1"/>
      <c r="B12" s="1"/>
      <c r="C12" s="5">
        <v>45970.0</v>
      </c>
      <c r="D12" s="6" t="str">
        <f t="shared" si="1"/>
        <v>dom.</v>
      </c>
      <c r="E12" s="7">
        <v>21500.0</v>
      </c>
      <c r="F12" s="8">
        <v>19000.0</v>
      </c>
      <c r="G12" s="14">
        <f t="shared" si="2"/>
        <v>40500</v>
      </c>
    </row>
    <row r="13" ht="15.75" customHeight="1">
      <c r="A13" s="1"/>
      <c r="B13" s="1"/>
      <c r="C13" s="5">
        <v>45971.0</v>
      </c>
      <c r="D13" s="6" t="str">
        <f t="shared" si="1"/>
        <v>seg.</v>
      </c>
      <c r="E13" s="7">
        <v>6000.0</v>
      </c>
      <c r="F13" s="8">
        <v>4000.0</v>
      </c>
      <c r="G13" s="14">
        <f t="shared" si="2"/>
        <v>10000</v>
      </c>
    </row>
    <row r="14" ht="15.75" customHeight="1">
      <c r="A14" s="1"/>
      <c r="B14" s="1"/>
      <c r="C14" s="5">
        <v>45972.0</v>
      </c>
      <c r="D14" s="6" t="str">
        <f t="shared" si="1"/>
        <v>ter.</v>
      </c>
      <c r="E14" s="7">
        <v>7000.0</v>
      </c>
      <c r="F14" s="8">
        <v>6500.0</v>
      </c>
      <c r="G14" s="14">
        <f t="shared" si="2"/>
        <v>13500</v>
      </c>
    </row>
    <row r="15" ht="15.75" customHeight="1">
      <c r="A15" s="1"/>
      <c r="B15" s="1"/>
      <c r="C15" s="5">
        <v>45973.0</v>
      </c>
      <c r="D15" s="6" t="str">
        <f t="shared" si="1"/>
        <v>qua.</v>
      </c>
      <c r="E15" s="7">
        <v>8000.0</v>
      </c>
      <c r="F15" s="8">
        <v>7000.0</v>
      </c>
      <c r="G15" s="14">
        <f t="shared" si="2"/>
        <v>15000</v>
      </c>
    </row>
    <row r="16" ht="15.75" customHeight="1">
      <c r="A16" s="1"/>
      <c r="B16" s="1"/>
      <c r="C16" s="5">
        <v>45974.0</v>
      </c>
      <c r="D16" s="6" t="str">
        <f t="shared" si="1"/>
        <v>qui.</v>
      </c>
      <c r="E16" s="7">
        <v>9000.0</v>
      </c>
      <c r="F16" s="8">
        <v>6500.0</v>
      </c>
      <c r="G16" s="14">
        <f t="shared" si="2"/>
        <v>15500</v>
      </c>
    </row>
    <row r="17" ht="15.75" customHeight="1">
      <c r="A17" s="1"/>
      <c r="B17" s="1"/>
      <c r="C17" s="5">
        <v>45975.0</v>
      </c>
      <c r="D17" s="6" t="str">
        <f t="shared" si="1"/>
        <v>sex.</v>
      </c>
      <c r="E17" s="7">
        <v>15500.0</v>
      </c>
      <c r="F17" s="8">
        <v>11000.0</v>
      </c>
      <c r="G17" s="14">
        <f t="shared" si="2"/>
        <v>26500</v>
      </c>
    </row>
    <row r="18" ht="15.75" customHeight="1">
      <c r="A18" s="1"/>
      <c r="B18" s="1"/>
      <c r="C18" s="5">
        <v>45976.0</v>
      </c>
      <c r="D18" s="6" t="str">
        <f t="shared" si="1"/>
        <v>sáb.</v>
      </c>
      <c r="E18" s="7">
        <v>22000.0</v>
      </c>
      <c r="F18" s="8">
        <v>15000.0</v>
      </c>
      <c r="G18" s="14">
        <f t="shared" si="2"/>
        <v>37000</v>
      </c>
    </row>
    <row r="19" ht="15.75" customHeight="1">
      <c r="A19" s="1"/>
      <c r="B19" s="1"/>
      <c r="C19" s="5">
        <v>45977.0</v>
      </c>
      <c r="D19" s="6" t="str">
        <f t="shared" si="1"/>
        <v>dom.</v>
      </c>
      <c r="E19" s="7">
        <v>21500.0</v>
      </c>
      <c r="F19" s="8">
        <v>19000.0</v>
      </c>
      <c r="G19" s="14">
        <f t="shared" si="2"/>
        <v>40500</v>
      </c>
    </row>
    <row r="20" ht="15.75" customHeight="1">
      <c r="A20" s="1"/>
      <c r="B20" s="1"/>
      <c r="C20" s="5">
        <v>45978.0</v>
      </c>
      <c r="D20" s="6" t="str">
        <f t="shared" si="1"/>
        <v>seg.</v>
      </c>
      <c r="E20" s="7">
        <v>6000.0</v>
      </c>
      <c r="F20" s="8">
        <v>4000.0</v>
      </c>
      <c r="G20" s="14">
        <f t="shared" si="2"/>
        <v>10000</v>
      </c>
    </row>
    <row r="21" ht="15.75" customHeight="1">
      <c r="A21" s="1"/>
      <c r="B21" s="1"/>
      <c r="C21" s="5">
        <v>45979.0</v>
      </c>
      <c r="D21" s="6" t="str">
        <f t="shared" si="1"/>
        <v>ter.</v>
      </c>
      <c r="E21" s="7">
        <v>7000.0</v>
      </c>
      <c r="F21" s="8">
        <v>6500.0</v>
      </c>
      <c r="G21" s="14">
        <f t="shared" si="2"/>
        <v>13500</v>
      </c>
    </row>
    <row r="22" ht="15.75" customHeight="1">
      <c r="A22" s="1"/>
      <c r="B22" s="1"/>
      <c r="C22" s="5">
        <v>45980.0</v>
      </c>
      <c r="D22" s="6" t="str">
        <f t="shared" si="1"/>
        <v>qua.</v>
      </c>
      <c r="E22" s="7">
        <v>8000.0</v>
      </c>
      <c r="F22" s="8">
        <v>7000.0</v>
      </c>
      <c r="G22" s="14">
        <f t="shared" si="2"/>
        <v>15000</v>
      </c>
    </row>
    <row r="23" ht="15.75" customHeight="1">
      <c r="A23" s="1"/>
      <c r="B23" s="1"/>
      <c r="C23" s="5">
        <v>45981.0</v>
      </c>
      <c r="D23" s="6" t="str">
        <f t="shared" si="1"/>
        <v>qui.</v>
      </c>
      <c r="E23" s="7">
        <v>9000.0</v>
      </c>
      <c r="F23" s="8">
        <v>6500.0</v>
      </c>
      <c r="G23" s="14">
        <f t="shared" si="2"/>
        <v>15500</v>
      </c>
    </row>
    <row r="24" ht="15.75" customHeight="1">
      <c r="A24" s="1"/>
      <c r="B24" s="1"/>
      <c r="C24" s="5">
        <v>45982.0</v>
      </c>
      <c r="D24" s="6" t="str">
        <f t="shared" si="1"/>
        <v>sex.</v>
      </c>
      <c r="E24" s="7">
        <v>15500.0</v>
      </c>
      <c r="F24" s="8">
        <v>11000.0</v>
      </c>
      <c r="G24" s="14">
        <f t="shared" si="2"/>
        <v>26500</v>
      </c>
    </row>
    <row r="25" ht="15.75" customHeight="1">
      <c r="A25" s="1"/>
      <c r="B25" s="1"/>
      <c r="C25" s="5">
        <v>45983.0</v>
      </c>
      <c r="D25" s="6" t="str">
        <f t="shared" si="1"/>
        <v>sáb.</v>
      </c>
      <c r="E25" s="7">
        <v>22000.0</v>
      </c>
      <c r="F25" s="8">
        <v>15000.0</v>
      </c>
      <c r="G25" s="14">
        <f t="shared" si="2"/>
        <v>37000</v>
      </c>
    </row>
    <row r="26" ht="15.75" customHeight="1">
      <c r="A26" s="1"/>
      <c r="B26" s="1"/>
      <c r="C26" s="5">
        <v>45984.0</v>
      </c>
      <c r="D26" s="6" t="str">
        <f t="shared" si="1"/>
        <v>dom.</v>
      </c>
      <c r="E26" s="7">
        <v>21500.0</v>
      </c>
      <c r="F26" s="8">
        <v>19000.0</v>
      </c>
      <c r="G26" s="14">
        <f t="shared" si="2"/>
        <v>40500</v>
      </c>
    </row>
    <row r="27" ht="15.75" customHeight="1">
      <c r="A27" s="1"/>
      <c r="B27" s="1"/>
      <c r="C27" s="5">
        <v>45985.0</v>
      </c>
      <c r="D27" s="6" t="str">
        <f t="shared" si="1"/>
        <v>seg.</v>
      </c>
      <c r="E27" s="7">
        <v>6000.0</v>
      </c>
      <c r="F27" s="8">
        <v>4000.0</v>
      </c>
      <c r="G27" s="14">
        <f t="shared" si="2"/>
        <v>10000</v>
      </c>
    </row>
    <row r="28" ht="15.75" customHeight="1">
      <c r="A28" s="1"/>
      <c r="B28" s="1"/>
      <c r="C28" s="5">
        <v>45986.0</v>
      </c>
      <c r="D28" s="6" t="str">
        <f t="shared" si="1"/>
        <v>ter.</v>
      </c>
      <c r="E28" s="7">
        <v>7000.0</v>
      </c>
      <c r="F28" s="8">
        <v>6500.0</v>
      </c>
      <c r="G28" s="14">
        <f t="shared" si="2"/>
        <v>13500</v>
      </c>
    </row>
    <row r="29" ht="15.75" customHeight="1">
      <c r="A29" s="1"/>
      <c r="B29" s="1"/>
      <c r="C29" s="5">
        <v>45987.0</v>
      </c>
      <c r="D29" s="6" t="str">
        <f t="shared" si="1"/>
        <v>qua.</v>
      </c>
      <c r="E29" s="7">
        <v>8000.0</v>
      </c>
      <c r="F29" s="8">
        <v>7000.0</v>
      </c>
      <c r="G29" s="16">
        <f t="shared" si="2"/>
        <v>15000</v>
      </c>
    </row>
    <row r="30" ht="15.75" customHeight="1">
      <c r="A30" s="1"/>
      <c r="B30" s="1"/>
      <c r="C30" s="5">
        <v>45988.0</v>
      </c>
      <c r="D30" s="6" t="str">
        <f t="shared" si="1"/>
        <v>qui.</v>
      </c>
      <c r="E30" s="7">
        <v>9000.0</v>
      </c>
      <c r="F30" s="8">
        <v>6500.0</v>
      </c>
      <c r="G30" s="14">
        <f t="shared" si="2"/>
        <v>15500</v>
      </c>
    </row>
    <row r="31" ht="15.75" customHeight="1">
      <c r="A31" s="1"/>
      <c r="B31" s="1"/>
      <c r="C31" s="5">
        <v>45989.0</v>
      </c>
      <c r="D31" s="6" t="str">
        <f t="shared" si="1"/>
        <v>sex.</v>
      </c>
      <c r="E31" s="7">
        <v>16000.0</v>
      </c>
      <c r="F31" s="8">
        <v>11000.0</v>
      </c>
      <c r="G31" s="14">
        <f t="shared" si="2"/>
        <v>27000</v>
      </c>
    </row>
    <row r="32" ht="15.75" customHeight="1">
      <c r="A32" s="1"/>
      <c r="B32" s="1"/>
      <c r="C32" s="5">
        <v>45990.0</v>
      </c>
      <c r="D32" s="6" t="str">
        <f t="shared" si="1"/>
        <v>sáb.</v>
      </c>
      <c r="E32" s="7">
        <v>22000.0</v>
      </c>
      <c r="F32" s="8">
        <v>15000.0</v>
      </c>
      <c r="G32" s="14">
        <f t="shared" si="2"/>
        <v>37000</v>
      </c>
    </row>
    <row r="33" ht="15.75" customHeight="1">
      <c r="A33" s="1"/>
      <c r="B33" s="1"/>
      <c r="C33" s="5">
        <v>45991.0</v>
      </c>
      <c r="D33" s="6" t="str">
        <f t="shared" si="1"/>
        <v>dom.</v>
      </c>
      <c r="E33" s="7">
        <v>21500.0</v>
      </c>
      <c r="F33" s="8">
        <v>19000.0</v>
      </c>
      <c r="G33" s="14">
        <f t="shared" si="2"/>
        <v>40500</v>
      </c>
    </row>
    <row r="34" ht="15.75" customHeight="1">
      <c r="A34" s="1"/>
      <c r="B34" s="1"/>
      <c r="C34" s="17"/>
      <c r="D34" s="15"/>
      <c r="E34" s="10"/>
      <c r="F34" s="11"/>
      <c r="G34" s="14">
        <f t="shared" si="2"/>
        <v>0</v>
      </c>
    </row>
    <row r="35" ht="15.75" customHeight="1">
      <c r="E35" s="18">
        <f t="shared" ref="E35:F35" si="3">SUM(E4:E34)</f>
        <v>400000</v>
      </c>
      <c r="F35" s="19">
        <f t="shared" si="3"/>
        <v>310000</v>
      </c>
      <c r="G35" s="14">
        <f>SUM(G4:G33)</f>
        <v>710000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5">
        <v>45992.0</v>
      </c>
      <c r="D4" s="6" t="str">
        <f t="shared" ref="D4:D34" si="1">TEXT(C4,"ddd")</f>
        <v>seg.</v>
      </c>
      <c r="E4" s="7">
        <f>6361.6</f>
        <v>6361.6</v>
      </c>
      <c r="F4" s="8">
        <f>4087.74+2367.02-126</f>
        <v>6328.76</v>
      </c>
      <c r="G4" s="14">
        <f t="shared" ref="G4:G34" si="2">E4+F4</f>
        <v>12690.36</v>
      </c>
    </row>
    <row r="5" ht="15.75" customHeight="1">
      <c r="A5" s="1"/>
      <c r="B5" s="1"/>
      <c r="C5" s="5">
        <v>45993.0</v>
      </c>
      <c r="D5" s="6" t="str">
        <f t="shared" si="1"/>
        <v>ter.</v>
      </c>
      <c r="E5" s="7">
        <f>12736</f>
        <v>12736</v>
      </c>
      <c r="F5" s="8">
        <f>2705.88+2218.89-129</f>
        <v>4795.77</v>
      </c>
      <c r="G5" s="14">
        <f t="shared" si="2"/>
        <v>17531.77</v>
      </c>
    </row>
    <row r="6" ht="15.75" customHeight="1">
      <c r="A6" s="1"/>
      <c r="B6" s="1"/>
      <c r="C6" s="5">
        <v>45994.0</v>
      </c>
      <c r="D6" s="6" t="str">
        <f t="shared" si="1"/>
        <v>qua.</v>
      </c>
      <c r="E6" s="7">
        <f>6616.75</f>
        <v>6616.75</v>
      </c>
      <c r="F6" s="8">
        <f>3082.06+3661.33-358.97</f>
        <v>6384.42</v>
      </c>
      <c r="G6" s="14">
        <f t="shared" si="2"/>
        <v>13001.17</v>
      </c>
    </row>
    <row r="7" ht="15.75" customHeight="1">
      <c r="A7" s="1"/>
      <c r="B7" s="1"/>
      <c r="C7" s="5">
        <v>45995.0</v>
      </c>
      <c r="D7" s="6" t="str">
        <f t="shared" si="1"/>
        <v>qui.</v>
      </c>
      <c r="E7" s="7">
        <f>101+9104.1</f>
        <v>9205.1</v>
      </c>
      <c r="F7" s="8">
        <f>5718.07+1626.8-340.98</f>
        <v>7003.89</v>
      </c>
      <c r="G7" s="14">
        <f t="shared" si="2"/>
        <v>16208.99</v>
      </c>
    </row>
    <row r="8" ht="15.75" customHeight="1">
      <c r="A8" s="1"/>
      <c r="B8" s="1"/>
      <c r="C8" s="5">
        <v>45996.0</v>
      </c>
      <c r="D8" s="6" t="str">
        <f t="shared" si="1"/>
        <v>sex.</v>
      </c>
      <c r="E8" s="7">
        <v>19000.0</v>
      </c>
      <c r="F8" s="8">
        <v>12000.0</v>
      </c>
      <c r="G8" s="14">
        <f t="shared" si="2"/>
        <v>31000</v>
      </c>
    </row>
    <row r="9" ht="15.75" customHeight="1">
      <c r="A9" s="1"/>
      <c r="B9" s="1"/>
      <c r="C9" s="5">
        <v>45997.0</v>
      </c>
      <c r="D9" s="6" t="str">
        <f t="shared" si="1"/>
        <v>sáb.</v>
      </c>
      <c r="E9" s="7">
        <v>25000.0</v>
      </c>
      <c r="F9" s="8">
        <v>17000.0</v>
      </c>
      <c r="G9" s="14">
        <f t="shared" si="2"/>
        <v>42000</v>
      </c>
    </row>
    <row r="10" ht="15.75" customHeight="1">
      <c r="A10" s="1"/>
      <c r="B10" s="1"/>
      <c r="C10" s="5">
        <v>45998.0</v>
      </c>
      <c r="D10" s="6" t="str">
        <f t="shared" si="1"/>
        <v>dom.</v>
      </c>
      <c r="E10" s="7">
        <v>24500.0</v>
      </c>
      <c r="F10" s="8">
        <v>22000.0</v>
      </c>
      <c r="G10" s="14">
        <f t="shared" si="2"/>
        <v>46500</v>
      </c>
    </row>
    <row r="11" ht="15.75" customHeight="1">
      <c r="A11" s="1"/>
      <c r="B11" s="1"/>
      <c r="C11" s="5">
        <v>45999.0</v>
      </c>
      <c r="D11" s="6" t="str">
        <f t="shared" si="1"/>
        <v>seg.</v>
      </c>
      <c r="E11" s="7">
        <v>9000.0</v>
      </c>
      <c r="F11" s="8">
        <v>5000.0</v>
      </c>
      <c r="G11" s="14">
        <f t="shared" si="2"/>
        <v>14000</v>
      </c>
    </row>
    <row r="12" ht="15.75" customHeight="1">
      <c r="A12" s="1"/>
      <c r="B12" s="1"/>
      <c r="C12" s="5">
        <v>46000.0</v>
      </c>
      <c r="D12" s="6" t="str">
        <f t="shared" si="1"/>
        <v>ter.</v>
      </c>
      <c r="E12" s="7">
        <v>10000.0</v>
      </c>
      <c r="F12" s="8">
        <v>5500.0</v>
      </c>
      <c r="G12" s="14">
        <f t="shared" si="2"/>
        <v>15500</v>
      </c>
    </row>
    <row r="13" ht="15.75" customHeight="1">
      <c r="A13" s="1"/>
      <c r="B13" s="1"/>
      <c r="C13" s="5">
        <v>46001.0</v>
      </c>
      <c r="D13" s="6" t="str">
        <f t="shared" si="1"/>
        <v>qua.</v>
      </c>
      <c r="E13" s="7">
        <v>13000.0</v>
      </c>
      <c r="F13" s="8">
        <v>6000.0</v>
      </c>
      <c r="G13" s="14">
        <f t="shared" si="2"/>
        <v>19000</v>
      </c>
    </row>
    <row r="14" ht="15.75" customHeight="1">
      <c r="A14" s="1"/>
      <c r="B14" s="1"/>
      <c r="C14" s="5">
        <v>46002.0</v>
      </c>
      <c r="D14" s="6" t="str">
        <f t="shared" si="1"/>
        <v>qui.</v>
      </c>
      <c r="E14" s="7">
        <v>13000.0</v>
      </c>
      <c r="F14" s="8">
        <v>7000.0</v>
      </c>
      <c r="G14" s="14">
        <f t="shared" si="2"/>
        <v>20000</v>
      </c>
    </row>
    <row r="15" ht="15.75" customHeight="1">
      <c r="A15" s="1"/>
      <c r="B15" s="1"/>
      <c r="C15" s="5">
        <v>46003.0</v>
      </c>
      <c r="D15" s="6" t="str">
        <f t="shared" si="1"/>
        <v>sex.</v>
      </c>
      <c r="E15" s="7">
        <v>19000.0</v>
      </c>
      <c r="F15" s="8">
        <v>12000.0</v>
      </c>
      <c r="G15" s="14">
        <f t="shared" si="2"/>
        <v>31000</v>
      </c>
    </row>
    <row r="16" ht="15.75" customHeight="1">
      <c r="A16" s="1"/>
      <c r="B16" s="1"/>
      <c r="C16" s="5">
        <v>46004.0</v>
      </c>
      <c r="D16" s="6" t="str">
        <f t="shared" si="1"/>
        <v>sáb.</v>
      </c>
      <c r="E16" s="7">
        <v>25000.0</v>
      </c>
      <c r="F16" s="8">
        <v>17000.0</v>
      </c>
      <c r="G16" s="14">
        <f t="shared" si="2"/>
        <v>42000</v>
      </c>
    </row>
    <row r="17" ht="15.75" customHeight="1">
      <c r="A17" s="1"/>
      <c r="B17" s="1"/>
      <c r="C17" s="5">
        <v>46005.0</v>
      </c>
      <c r="D17" s="6" t="str">
        <f t="shared" si="1"/>
        <v>dom.</v>
      </c>
      <c r="E17" s="7">
        <v>24500.0</v>
      </c>
      <c r="F17" s="8">
        <v>22000.0</v>
      </c>
      <c r="G17" s="14">
        <f t="shared" si="2"/>
        <v>46500</v>
      </c>
    </row>
    <row r="18" ht="15.75" customHeight="1">
      <c r="A18" s="1"/>
      <c r="B18" s="1"/>
      <c r="C18" s="5">
        <v>46006.0</v>
      </c>
      <c r="D18" s="6" t="str">
        <f t="shared" si="1"/>
        <v>seg.</v>
      </c>
      <c r="E18" s="7">
        <v>13000.0</v>
      </c>
      <c r="F18" s="8">
        <v>5000.0</v>
      </c>
      <c r="G18" s="14">
        <f t="shared" si="2"/>
        <v>18000</v>
      </c>
    </row>
    <row r="19" ht="15.75" customHeight="1">
      <c r="A19" s="1"/>
      <c r="B19" s="1"/>
      <c r="C19" s="5">
        <v>46007.0</v>
      </c>
      <c r="D19" s="6" t="str">
        <f t="shared" si="1"/>
        <v>ter.</v>
      </c>
      <c r="E19" s="7">
        <v>14000.0</v>
      </c>
      <c r="F19" s="8">
        <v>6000.0</v>
      </c>
      <c r="G19" s="14">
        <f t="shared" si="2"/>
        <v>20000</v>
      </c>
    </row>
    <row r="20" ht="15.75" customHeight="1">
      <c r="A20" s="1"/>
      <c r="B20" s="1"/>
      <c r="C20" s="5">
        <v>46008.0</v>
      </c>
      <c r="D20" s="6" t="str">
        <f t="shared" si="1"/>
        <v>qua.</v>
      </c>
      <c r="E20" s="7">
        <v>14000.0</v>
      </c>
      <c r="F20" s="8">
        <v>6000.0</v>
      </c>
      <c r="G20" s="14">
        <f t="shared" si="2"/>
        <v>20000</v>
      </c>
    </row>
    <row r="21" ht="15.75" customHeight="1">
      <c r="A21" s="1"/>
      <c r="B21" s="1"/>
      <c r="C21" s="5">
        <v>46009.0</v>
      </c>
      <c r="D21" s="6" t="str">
        <f t="shared" si="1"/>
        <v>qui.</v>
      </c>
      <c r="E21" s="7">
        <v>13000.0</v>
      </c>
      <c r="F21" s="8">
        <v>8000.0</v>
      </c>
      <c r="G21" s="14">
        <f t="shared" si="2"/>
        <v>21000</v>
      </c>
    </row>
    <row r="22" ht="15.75" customHeight="1">
      <c r="A22" s="1"/>
      <c r="B22" s="1"/>
      <c r="C22" s="5">
        <v>46010.0</v>
      </c>
      <c r="D22" s="6" t="str">
        <f t="shared" si="1"/>
        <v>sex.</v>
      </c>
      <c r="E22" s="7">
        <v>19000.0</v>
      </c>
      <c r="F22" s="8">
        <v>14000.0</v>
      </c>
      <c r="G22" s="14">
        <f t="shared" si="2"/>
        <v>33000</v>
      </c>
    </row>
    <row r="23" ht="15.75" customHeight="1">
      <c r="A23" s="1"/>
      <c r="B23" s="1"/>
      <c r="C23" s="5">
        <v>46011.0</v>
      </c>
      <c r="D23" s="6" t="str">
        <f t="shared" si="1"/>
        <v>sáb.</v>
      </c>
      <c r="E23" s="7">
        <v>25000.0</v>
      </c>
      <c r="F23" s="8">
        <v>17000.0</v>
      </c>
      <c r="G23" s="14">
        <f t="shared" si="2"/>
        <v>42000</v>
      </c>
    </row>
    <row r="24" ht="15.75" customHeight="1">
      <c r="A24" s="1"/>
      <c r="B24" s="1"/>
      <c r="C24" s="5">
        <v>46012.0</v>
      </c>
      <c r="D24" s="6" t="str">
        <f t="shared" si="1"/>
        <v>dom.</v>
      </c>
      <c r="E24" s="7">
        <v>24600.0</v>
      </c>
      <c r="F24" s="8">
        <v>23000.0</v>
      </c>
      <c r="G24" s="14">
        <f t="shared" si="2"/>
        <v>47600</v>
      </c>
    </row>
    <row r="25" ht="15.75" customHeight="1">
      <c r="A25" s="1"/>
      <c r="B25" s="1"/>
      <c r="C25" s="5">
        <v>46013.0</v>
      </c>
      <c r="D25" s="6" t="str">
        <f t="shared" si="1"/>
        <v>seg.</v>
      </c>
      <c r="E25" s="7">
        <v>13000.0</v>
      </c>
      <c r="F25" s="8">
        <v>6000.0</v>
      </c>
      <c r="G25" s="14">
        <f t="shared" si="2"/>
        <v>19000</v>
      </c>
    </row>
    <row r="26" ht="15.75" customHeight="1">
      <c r="A26" s="1"/>
      <c r="B26" s="1"/>
      <c r="C26" s="5">
        <v>46014.0</v>
      </c>
      <c r="D26" s="6" t="str">
        <f t="shared" si="1"/>
        <v>ter.</v>
      </c>
      <c r="E26" s="7">
        <v>14000.0</v>
      </c>
      <c r="F26" s="8">
        <v>6000.0</v>
      </c>
      <c r="G26" s="14">
        <f t="shared" si="2"/>
        <v>20000</v>
      </c>
    </row>
    <row r="27" ht="15.75" customHeight="1">
      <c r="A27" s="1"/>
      <c r="B27" s="1"/>
      <c r="C27" s="5">
        <v>46015.0</v>
      </c>
      <c r="D27" s="6" t="str">
        <f t="shared" si="1"/>
        <v>qua.</v>
      </c>
      <c r="E27" s="10"/>
      <c r="F27" s="11"/>
      <c r="G27" s="14">
        <f t="shared" si="2"/>
        <v>0</v>
      </c>
    </row>
    <row r="28" ht="15.75" customHeight="1">
      <c r="A28" s="1"/>
      <c r="B28" s="1"/>
      <c r="C28" s="5">
        <v>46016.0</v>
      </c>
      <c r="D28" s="6" t="str">
        <f t="shared" si="1"/>
        <v>qui.</v>
      </c>
      <c r="E28" s="7">
        <v>13000.0</v>
      </c>
      <c r="F28" s="8">
        <v>8000.0</v>
      </c>
      <c r="G28" s="14">
        <f t="shared" si="2"/>
        <v>21000</v>
      </c>
    </row>
    <row r="29" ht="15.75" customHeight="1">
      <c r="A29" s="1"/>
      <c r="B29" s="1"/>
      <c r="C29" s="5">
        <v>46017.0</v>
      </c>
      <c r="D29" s="6" t="str">
        <f t="shared" si="1"/>
        <v>sex.</v>
      </c>
      <c r="E29" s="7">
        <v>19000.0</v>
      </c>
      <c r="F29" s="8">
        <v>14000.0</v>
      </c>
      <c r="G29" s="16">
        <f t="shared" si="2"/>
        <v>33000</v>
      </c>
    </row>
    <row r="30" ht="15.75" customHeight="1">
      <c r="A30" s="1"/>
      <c r="B30" s="1"/>
      <c r="C30" s="5">
        <v>46018.0</v>
      </c>
      <c r="D30" s="6" t="str">
        <f t="shared" si="1"/>
        <v>sáb.</v>
      </c>
      <c r="E30" s="7">
        <v>25000.0</v>
      </c>
      <c r="F30" s="8">
        <v>17000.0</v>
      </c>
      <c r="G30" s="14">
        <f t="shared" si="2"/>
        <v>42000</v>
      </c>
    </row>
    <row r="31" ht="15.75" customHeight="1">
      <c r="A31" s="1"/>
      <c r="B31" s="1"/>
      <c r="C31" s="5">
        <v>46019.0</v>
      </c>
      <c r="D31" s="6" t="str">
        <f t="shared" si="1"/>
        <v>dom.</v>
      </c>
      <c r="E31" s="7">
        <v>24500.0</v>
      </c>
      <c r="F31" s="8">
        <v>23000.0</v>
      </c>
      <c r="G31" s="14">
        <f t="shared" si="2"/>
        <v>47500</v>
      </c>
    </row>
    <row r="32" ht="15.75" customHeight="1">
      <c r="A32" s="1"/>
      <c r="B32" s="1"/>
      <c r="C32" s="5">
        <v>46020.0</v>
      </c>
      <c r="D32" s="6" t="str">
        <f t="shared" si="1"/>
        <v>seg.</v>
      </c>
      <c r="E32" s="7">
        <v>13000.0</v>
      </c>
      <c r="F32" s="8">
        <v>6000.0</v>
      </c>
      <c r="G32" s="14">
        <f t="shared" si="2"/>
        <v>19000</v>
      </c>
    </row>
    <row r="33" ht="15.75" customHeight="1">
      <c r="A33" s="1"/>
      <c r="B33" s="1"/>
      <c r="C33" s="5">
        <v>46021.0</v>
      </c>
      <c r="D33" s="6" t="str">
        <f t="shared" si="1"/>
        <v>ter.</v>
      </c>
      <c r="E33" s="7">
        <v>14000.0</v>
      </c>
      <c r="F33" s="8">
        <v>6000.0</v>
      </c>
      <c r="G33" s="14">
        <f t="shared" si="2"/>
        <v>20000</v>
      </c>
    </row>
    <row r="34" ht="15.75" customHeight="1">
      <c r="A34" s="1"/>
      <c r="B34" s="1"/>
      <c r="C34" s="5">
        <v>46022.0</v>
      </c>
      <c r="D34" s="6" t="str">
        <f t="shared" si="1"/>
        <v>qua.</v>
      </c>
      <c r="E34" s="10"/>
      <c r="F34" s="11"/>
      <c r="G34" s="14">
        <f t="shared" si="2"/>
        <v>0</v>
      </c>
    </row>
    <row r="35" ht="15.75" customHeight="1">
      <c r="E35" s="18">
        <f t="shared" ref="E35:F35" si="3">SUM(E4:E34)</f>
        <v>475019.45</v>
      </c>
      <c r="F35" s="19">
        <f t="shared" si="3"/>
        <v>315012.84</v>
      </c>
      <c r="G35" s="14">
        <f>SUM(G4:G33)</f>
        <v>790032.29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">
        <v>1.0</v>
      </c>
      <c r="D4" s="2" t="s">
        <v>5</v>
      </c>
      <c r="E4" s="18">
        <v>17956.8</v>
      </c>
      <c r="F4" s="19">
        <f>22023-1615.95</f>
        <v>20407.05</v>
      </c>
      <c r="G4" s="14">
        <f t="shared" ref="G4:G34" si="1">E4+F4</f>
        <v>38363.85</v>
      </c>
    </row>
    <row r="5" ht="15.75" customHeight="1">
      <c r="A5" s="1"/>
      <c r="B5" s="1"/>
      <c r="C5" s="2">
        <v>2.0</v>
      </c>
      <c r="D5" s="2" t="s">
        <v>6</v>
      </c>
      <c r="E5" s="18">
        <v>12000.0</v>
      </c>
      <c r="F5" s="19">
        <v>8000.0</v>
      </c>
      <c r="G5" s="14">
        <f t="shared" si="1"/>
        <v>20000</v>
      </c>
    </row>
    <row r="6" ht="15.75" customHeight="1">
      <c r="A6" s="1"/>
      <c r="B6" s="1"/>
      <c r="C6" s="2">
        <v>3.0</v>
      </c>
      <c r="D6" s="2" t="s">
        <v>7</v>
      </c>
      <c r="E6" s="18">
        <v>20000.0</v>
      </c>
      <c r="F6" s="19">
        <v>13000.0</v>
      </c>
      <c r="G6" s="14">
        <f t="shared" si="1"/>
        <v>33000</v>
      </c>
    </row>
    <row r="7" ht="15.75" customHeight="1">
      <c r="A7" s="1"/>
      <c r="B7" s="1"/>
      <c r="C7" s="2">
        <v>4.0</v>
      </c>
      <c r="D7" s="2" t="s">
        <v>8</v>
      </c>
      <c r="E7" s="18">
        <v>21000.0</v>
      </c>
      <c r="F7" s="19">
        <v>18000.0</v>
      </c>
      <c r="G7" s="14">
        <f t="shared" si="1"/>
        <v>39000</v>
      </c>
    </row>
    <row r="8" ht="15.75" customHeight="1">
      <c r="A8" s="1"/>
      <c r="B8" s="1"/>
      <c r="C8" s="2">
        <v>5.0</v>
      </c>
      <c r="D8" s="2" t="s">
        <v>9</v>
      </c>
      <c r="E8" s="18">
        <v>4500.0</v>
      </c>
      <c r="F8" s="19">
        <v>4000.0</v>
      </c>
      <c r="G8" s="14">
        <f t="shared" si="1"/>
        <v>8500</v>
      </c>
    </row>
    <row r="9" ht="15.75" customHeight="1">
      <c r="A9" s="1"/>
      <c r="B9" s="1"/>
      <c r="C9" s="2">
        <v>6.0</v>
      </c>
      <c r="D9" s="2" t="s">
        <v>10</v>
      </c>
      <c r="E9" s="18">
        <v>5000.0</v>
      </c>
      <c r="F9" s="19">
        <v>5000.0</v>
      </c>
      <c r="G9" s="14">
        <f t="shared" si="1"/>
        <v>10000</v>
      </c>
    </row>
    <row r="10" ht="15.75" customHeight="1">
      <c r="A10" s="1"/>
      <c r="B10" s="1"/>
      <c r="C10" s="2">
        <v>7.0</v>
      </c>
      <c r="D10" s="2" t="s">
        <v>11</v>
      </c>
      <c r="E10" s="18">
        <v>6000.0</v>
      </c>
      <c r="F10" s="19">
        <v>5500.0</v>
      </c>
      <c r="G10" s="14">
        <f t="shared" si="1"/>
        <v>11500</v>
      </c>
    </row>
    <row r="11" ht="15.75" customHeight="1">
      <c r="A11" s="1"/>
      <c r="B11" s="1"/>
      <c r="C11" s="2">
        <v>8.0</v>
      </c>
      <c r="D11" s="2" t="s">
        <v>5</v>
      </c>
      <c r="E11" s="18">
        <v>7000.0</v>
      </c>
      <c r="F11" s="19">
        <v>6500.0</v>
      </c>
      <c r="G11" s="14">
        <f t="shared" si="1"/>
        <v>13500</v>
      </c>
    </row>
    <row r="12" ht="15.75" customHeight="1">
      <c r="A12" s="1"/>
      <c r="B12" s="1"/>
      <c r="C12" s="2">
        <v>9.0</v>
      </c>
      <c r="D12" s="2" t="s">
        <v>12</v>
      </c>
      <c r="E12" s="18">
        <v>12000.0</v>
      </c>
      <c r="F12" s="19">
        <v>8000.0</v>
      </c>
      <c r="G12" s="14">
        <f t="shared" si="1"/>
        <v>20000</v>
      </c>
    </row>
    <row r="13" ht="15.75" customHeight="1">
      <c r="A13" s="1"/>
      <c r="B13" s="1"/>
      <c r="C13" s="2">
        <v>10.0</v>
      </c>
      <c r="D13" s="2" t="s">
        <v>13</v>
      </c>
      <c r="E13" s="18">
        <v>20000.0</v>
      </c>
      <c r="F13" s="19">
        <v>13000.0</v>
      </c>
      <c r="G13" s="14">
        <f t="shared" si="1"/>
        <v>33000</v>
      </c>
    </row>
    <row r="14" ht="15.75" customHeight="1">
      <c r="A14" s="1"/>
      <c r="B14" s="1"/>
      <c r="C14" s="2">
        <v>11.0</v>
      </c>
      <c r="D14" s="2" t="s">
        <v>8</v>
      </c>
      <c r="E14" s="18">
        <v>21000.0</v>
      </c>
      <c r="F14" s="19">
        <v>18000.0</v>
      </c>
      <c r="G14" s="14">
        <f t="shared" si="1"/>
        <v>39000</v>
      </c>
    </row>
    <row r="15" ht="15.75" customHeight="1">
      <c r="A15" s="1"/>
      <c r="B15" s="1"/>
      <c r="C15" s="2">
        <v>12.0</v>
      </c>
      <c r="D15" s="2" t="s">
        <v>9</v>
      </c>
      <c r="E15" s="18">
        <v>4500.0</v>
      </c>
      <c r="F15" s="19">
        <v>4000.0</v>
      </c>
      <c r="G15" s="14">
        <f t="shared" si="1"/>
        <v>8500</v>
      </c>
    </row>
    <row r="16" ht="15.75" customHeight="1">
      <c r="A16" s="1"/>
      <c r="B16" s="1"/>
      <c r="C16" s="2">
        <v>13.0</v>
      </c>
      <c r="D16" s="2" t="s">
        <v>10</v>
      </c>
      <c r="E16" s="18">
        <v>5000.0</v>
      </c>
      <c r="F16" s="19">
        <v>5000.0</v>
      </c>
      <c r="G16" s="14">
        <f t="shared" si="1"/>
        <v>10000</v>
      </c>
    </row>
    <row r="17" ht="15.75" customHeight="1">
      <c r="A17" s="1"/>
      <c r="B17" s="1"/>
      <c r="C17" s="2">
        <v>14.0</v>
      </c>
      <c r="D17" s="2" t="s">
        <v>11</v>
      </c>
      <c r="E17" s="18">
        <v>6000.0</v>
      </c>
      <c r="F17" s="19">
        <v>5500.0</v>
      </c>
      <c r="G17" s="14">
        <f t="shared" si="1"/>
        <v>11500</v>
      </c>
    </row>
    <row r="18" ht="15.75" customHeight="1">
      <c r="A18" s="1"/>
      <c r="B18" s="1"/>
      <c r="C18" s="2">
        <v>15.0</v>
      </c>
      <c r="D18" s="2" t="s">
        <v>5</v>
      </c>
      <c r="E18" s="18">
        <v>7000.0</v>
      </c>
      <c r="F18" s="19">
        <v>6500.0</v>
      </c>
      <c r="G18" s="14">
        <f t="shared" si="1"/>
        <v>13500</v>
      </c>
    </row>
    <row r="19" ht="15.75" customHeight="1">
      <c r="A19" s="1"/>
      <c r="B19" s="1"/>
      <c r="C19" s="2">
        <v>16.0</v>
      </c>
      <c r="D19" s="2" t="s">
        <v>12</v>
      </c>
      <c r="E19" s="18">
        <v>12000.0</v>
      </c>
      <c r="F19" s="19">
        <v>8000.0</v>
      </c>
      <c r="G19" s="14">
        <f t="shared" si="1"/>
        <v>20000</v>
      </c>
    </row>
    <row r="20" ht="15.75" customHeight="1">
      <c r="A20" s="1"/>
      <c r="B20" s="1"/>
      <c r="C20" s="2">
        <v>17.0</v>
      </c>
      <c r="D20" s="2" t="s">
        <v>13</v>
      </c>
      <c r="E20" s="18">
        <v>20000.0</v>
      </c>
      <c r="F20" s="19">
        <v>13000.0</v>
      </c>
      <c r="G20" s="14">
        <f t="shared" si="1"/>
        <v>33000</v>
      </c>
    </row>
    <row r="21" ht="15.75" customHeight="1">
      <c r="A21" s="1"/>
      <c r="B21" s="1"/>
      <c r="C21" s="2">
        <v>18.0</v>
      </c>
      <c r="D21" s="2" t="s">
        <v>8</v>
      </c>
      <c r="E21" s="18">
        <v>21000.0</v>
      </c>
      <c r="F21" s="19">
        <v>18000.0</v>
      </c>
      <c r="G21" s="14">
        <f t="shared" si="1"/>
        <v>39000</v>
      </c>
    </row>
    <row r="22" ht="15.75" customHeight="1">
      <c r="A22" s="1"/>
      <c r="B22" s="1"/>
      <c r="C22" s="2">
        <v>19.0</v>
      </c>
      <c r="D22" s="2" t="s">
        <v>9</v>
      </c>
      <c r="E22" s="18">
        <v>4500.0</v>
      </c>
      <c r="F22" s="19">
        <v>4000.0</v>
      </c>
      <c r="G22" s="14">
        <f t="shared" si="1"/>
        <v>8500</v>
      </c>
    </row>
    <row r="23" ht="15.75" customHeight="1">
      <c r="A23" s="1"/>
      <c r="B23" s="1"/>
      <c r="C23" s="2">
        <v>20.0</v>
      </c>
      <c r="D23" s="2" t="s">
        <v>10</v>
      </c>
      <c r="E23" s="18">
        <v>5000.0</v>
      </c>
      <c r="F23" s="19">
        <v>5000.0</v>
      </c>
      <c r="G23" s="14">
        <f t="shared" si="1"/>
        <v>10000</v>
      </c>
    </row>
    <row r="24" ht="15.75" customHeight="1">
      <c r="A24" s="1"/>
      <c r="B24" s="1"/>
      <c r="C24" s="2">
        <v>21.0</v>
      </c>
      <c r="D24" s="2" t="s">
        <v>11</v>
      </c>
      <c r="E24" s="18">
        <v>6000.0</v>
      </c>
      <c r="F24" s="19">
        <v>5500.0</v>
      </c>
      <c r="G24" s="14">
        <f t="shared" si="1"/>
        <v>11500</v>
      </c>
    </row>
    <row r="25" ht="15.75" customHeight="1">
      <c r="A25" s="1"/>
      <c r="B25" s="1"/>
      <c r="C25" s="2">
        <v>22.0</v>
      </c>
      <c r="D25" s="2" t="s">
        <v>5</v>
      </c>
      <c r="E25" s="18">
        <v>7000.0</v>
      </c>
      <c r="F25" s="19">
        <v>6500.0</v>
      </c>
      <c r="G25" s="14">
        <f t="shared" si="1"/>
        <v>13500</v>
      </c>
    </row>
    <row r="26" ht="15.75" customHeight="1">
      <c r="A26" s="1"/>
      <c r="B26" s="1"/>
      <c r="C26" s="2">
        <v>23.0</v>
      </c>
      <c r="D26" s="2" t="s">
        <v>12</v>
      </c>
      <c r="E26" s="18">
        <v>12000.0</v>
      </c>
      <c r="F26" s="19">
        <v>8000.0</v>
      </c>
      <c r="G26" s="14">
        <f t="shared" si="1"/>
        <v>20000</v>
      </c>
    </row>
    <row r="27" ht="15.75" customHeight="1">
      <c r="A27" s="1"/>
      <c r="B27" s="1"/>
      <c r="C27" s="2">
        <v>24.0</v>
      </c>
      <c r="D27" s="2" t="s">
        <v>7</v>
      </c>
      <c r="E27" s="18">
        <v>20000.0</v>
      </c>
      <c r="F27" s="19">
        <v>13000.0</v>
      </c>
      <c r="G27" s="14">
        <f t="shared" si="1"/>
        <v>33000</v>
      </c>
    </row>
    <row r="28" ht="15.75" customHeight="1">
      <c r="A28" s="1"/>
      <c r="B28" s="1"/>
      <c r="C28" s="2">
        <v>25.0</v>
      </c>
      <c r="D28" s="2" t="s">
        <v>8</v>
      </c>
      <c r="E28" s="18">
        <v>21000.0</v>
      </c>
      <c r="F28" s="19">
        <v>18000.0</v>
      </c>
      <c r="G28" s="14">
        <f t="shared" si="1"/>
        <v>39000</v>
      </c>
    </row>
    <row r="29" ht="15.75" customHeight="1">
      <c r="A29" s="1"/>
      <c r="B29" s="1"/>
      <c r="C29" s="2">
        <v>26.0</v>
      </c>
      <c r="D29" s="2" t="s">
        <v>9</v>
      </c>
      <c r="E29" s="18">
        <v>4500.0</v>
      </c>
      <c r="F29" s="19">
        <v>4000.0</v>
      </c>
      <c r="G29" s="16">
        <f t="shared" si="1"/>
        <v>8500</v>
      </c>
    </row>
    <row r="30" ht="15.75" customHeight="1">
      <c r="A30" s="1"/>
      <c r="B30" s="1"/>
      <c r="C30" s="2">
        <v>27.0</v>
      </c>
      <c r="D30" s="2" t="s">
        <v>10</v>
      </c>
      <c r="E30" s="18">
        <v>5000.0</v>
      </c>
      <c r="F30" s="19">
        <v>5000.0</v>
      </c>
      <c r="G30" s="14">
        <f t="shared" si="1"/>
        <v>10000</v>
      </c>
    </row>
    <row r="31" ht="15.75" customHeight="1">
      <c r="A31" s="1"/>
      <c r="B31" s="1"/>
      <c r="C31" s="2">
        <v>28.0</v>
      </c>
      <c r="D31" s="2" t="s">
        <v>11</v>
      </c>
      <c r="E31" s="18">
        <v>6000.0</v>
      </c>
      <c r="F31" s="19">
        <v>5500.0</v>
      </c>
      <c r="G31" s="14">
        <f t="shared" si="1"/>
        <v>11500</v>
      </c>
    </row>
    <row r="32" ht="15.75" customHeight="1">
      <c r="A32" s="1"/>
      <c r="B32" s="1"/>
      <c r="C32" s="2">
        <v>29.0</v>
      </c>
      <c r="D32" s="2" t="s">
        <v>5</v>
      </c>
      <c r="E32" s="18">
        <v>7000.0</v>
      </c>
      <c r="F32" s="19">
        <v>6500.0</v>
      </c>
      <c r="G32" s="14">
        <f t="shared" si="1"/>
        <v>13500</v>
      </c>
    </row>
    <row r="33" ht="15.75" customHeight="1">
      <c r="A33" s="1"/>
      <c r="B33" s="1"/>
      <c r="C33" s="2">
        <v>30.0</v>
      </c>
      <c r="D33" s="2" t="s">
        <v>12</v>
      </c>
      <c r="E33" s="18">
        <v>12000.0</v>
      </c>
      <c r="F33" s="19">
        <v>8000.0</v>
      </c>
      <c r="G33" s="14">
        <f t="shared" si="1"/>
        <v>20000</v>
      </c>
    </row>
    <row r="34" ht="15.75" customHeight="1">
      <c r="A34" s="1"/>
      <c r="B34" s="1"/>
      <c r="C34" s="2">
        <v>31.0</v>
      </c>
      <c r="D34" s="2" t="s">
        <v>13</v>
      </c>
      <c r="E34" s="18">
        <v>20000.0</v>
      </c>
      <c r="F34" s="19">
        <v>13000.0</v>
      </c>
      <c r="G34" s="14">
        <f t="shared" si="1"/>
        <v>33000</v>
      </c>
    </row>
    <row r="35" ht="15.75" customHeight="1">
      <c r="E35" s="18">
        <f t="shared" ref="E35:G35" si="2">SUM(E4:E34)</f>
        <v>351956.8</v>
      </c>
      <c r="F35" s="19">
        <f t="shared" si="2"/>
        <v>281407.05</v>
      </c>
      <c r="G35" s="14">
        <f t="shared" si="2"/>
        <v>633363.85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">
        <v>1.0</v>
      </c>
      <c r="D4" s="2" t="s">
        <v>8</v>
      </c>
      <c r="E4" s="18">
        <v>21875.0</v>
      </c>
      <c r="F4" s="19">
        <f>5588.9+10455.31-1145.95</f>
        <v>14898.26</v>
      </c>
      <c r="G4" s="14">
        <f t="shared" ref="G4:G31" si="1">E4+F4</f>
        <v>36773.26</v>
      </c>
    </row>
    <row r="5" ht="15.75" customHeight="1">
      <c r="A5" s="1"/>
      <c r="B5" s="1"/>
      <c r="C5" s="2">
        <v>2.0</v>
      </c>
      <c r="D5" s="2" t="s">
        <v>9</v>
      </c>
      <c r="E5" s="18">
        <v>7160.65</v>
      </c>
      <c r="F5" s="19">
        <f>1704.71+2360.74-165.89</f>
        <v>3899.56</v>
      </c>
      <c r="G5" s="14">
        <f t="shared" si="1"/>
        <v>11060.21</v>
      </c>
    </row>
    <row r="6" ht="15.75" customHeight="1">
      <c r="A6" s="1"/>
      <c r="B6" s="1"/>
      <c r="C6" s="2">
        <v>3.0</v>
      </c>
      <c r="D6" s="2" t="s">
        <v>10</v>
      </c>
      <c r="E6" s="18">
        <v>5161.5</v>
      </c>
      <c r="F6" s="19">
        <f>2130.2+2577.57-259.79</f>
        <v>4447.98</v>
      </c>
      <c r="G6" s="14">
        <f t="shared" si="1"/>
        <v>9609.48</v>
      </c>
    </row>
    <row r="7" ht="15.75" customHeight="1">
      <c r="A7" s="1"/>
      <c r="B7" s="1"/>
      <c r="C7" s="2">
        <v>4.0</v>
      </c>
      <c r="D7" s="2" t="s">
        <v>11</v>
      </c>
      <c r="E7" s="18">
        <v>6000.0</v>
      </c>
      <c r="F7" s="19">
        <v>4500.0</v>
      </c>
      <c r="G7" s="14">
        <f t="shared" si="1"/>
        <v>10500</v>
      </c>
    </row>
    <row r="8" ht="15.75" customHeight="1">
      <c r="A8" s="1"/>
      <c r="B8" s="1"/>
      <c r="C8" s="2">
        <v>5.0</v>
      </c>
      <c r="D8" s="2" t="s">
        <v>5</v>
      </c>
      <c r="E8" s="18">
        <v>7000.0</v>
      </c>
      <c r="F8" s="19">
        <v>5500.0</v>
      </c>
      <c r="G8" s="14">
        <f t="shared" si="1"/>
        <v>12500</v>
      </c>
    </row>
    <row r="9" ht="15.75" customHeight="1">
      <c r="A9" s="1"/>
      <c r="B9" s="1"/>
      <c r="C9" s="2">
        <v>6.0</v>
      </c>
      <c r="D9" s="2" t="s">
        <v>12</v>
      </c>
      <c r="E9" s="18">
        <v>11000.0</v>
      </c>
      <c r="F9" s="19">
        <v>8000.0</v>
      </c>
      <c r="G9" s="14">
        <f t="shared" si="1"/>
        <v>19000</v>
      </c>
    </row>
    <row r="10" ht="15.75" customHeight="1">
      <c r="A10" s="1"/>
      <c r="B10" s="1"/>
      <c r="C10" s="2">
        <v>7.0</v>
      </c>
      <c r="D10" s="2" t="s">
        <v>13</v>
      </c>
      <c r="E10" s="18">
        <v>20000.0</v>
      </c>
      <c r="F10" s="19">
        <v>14000.0</v>
      </c>
      <c r="G10" s="14">
        <f t="shared" si="1"/>
        <v>34000</v>
      </c>
    </row>
    <row r="11" ht="15.75" customHeight="1">
      <c r="A11" s="1"/>
      <c r="B11" s="1"/>
      <c r="C11" s="2">
        <v>8.0</v>
      </c>
      <c r="D11" s="2" t="s">
        <v>8</v>
      </c>
      <c r="E11" s="18">
        <v>21000.0</v>
      </c>
      <c r="F11" s="19">
        <v>18000.0</v>
      </c>
      <c r="G11" s="14">
        <f t="shared" si="1"/>
        <v>39000</v>
      </c>
    </row>
    <row r="12" ht="15.75" customHeight="1">
      <c r="A12" s="1"/>
      <c r="B12" s="1"/>
      <c r="C12" s="2">
        <v>9.0</v>
      </c>
      <c r="D12" s="2" t="s">
        <v>9</v>
      </c>
      <c r="E12" s="18">
        <v>5000.0</v>
      </c>
      <c r="F12" s="19">
        <v>3800.0</v>
      </c>
      <c r="G12" s="14">
        <f t="shared" si="1"/>
        <v>8800</v>
      </c>
    </row>
    <row r="13" ht="15.75" customHeight="1">
      <c r="A13" s="1"/>
      <c r="B13" s="1"/>
      <c r="C13" s="2">
        <v>10.0</v>
      </c>
      <c r="D13" s="2" t="s">
        <v>10</v>
      </c>
      <c r="E13" s="18">
        <v>6000.0</v>
      </c>
      <c r="F13" s="19">
        <v>4500.0</v>
      </c>
      <c r="G13" s="14">
        <f t="shared" si="1"/>
        <v>10500</v>
      </c>
    </row>
    <row r="14" ht="15.75" customHeight="1">
      <c r="A14" s="1"/>
      <c r="B14" s="1"/>
      <c r="C14" s="2">
        <v>11.0</v>
      </c>
      <c r="D14" s="2" t="s">
        <v>11</v>
      </c>
      <c r="E14" s="18">
        <v>6000.0</v>
      </c>
      <c r="F14" s="19">
        <v>4500.0</v>
      </c>
      <c r="G14" s="14">
        <f t="shared" si="1"/>
        <v>10500</v>
      </c>
    </row>
    <row r="15" ht="15.75" customHeight="1">
      <c r="A15" s="1"/>
      <c r="B15" s="1"/>
      <c r="C15" s="2">
        <v>12.0</v>
      </c>
      <c r="D15" s="2" t="s">
        <v>5</v>
      </c>
      <c r="E15" s="18">
        <v>7000.0</v>
      </c>
      <c r="F15" s="19">
        <v>5500.0</v>
      </c>
      <c r="G15" s="14">
        <f t="shared" si="1"/>
        <v>12500</v>
      </c>
    </row>
    <row r="16" ht="15.75" customHeight="1">
      <c r="A16" s="1"/>
      <c r="B16" s="1"/>
      <c r="C16" s="2">
        <v>13.0</v>
      </c>
      <c r="D16" s="2" t="s">
        <v>12</v>
      </c>
      <c r="E16" s="18">
        <v>14000.0</v>
      </c>
      <c r="F16" s="19">
        <v>9000.0</v>
      </c>
      <c r="G16" s="14">
        <f t="shared" si="1"/>
        <v>23000</v>
      </c>
    </row>
    <row r="17" ht="15.75" customHeight="1">
      <c r="A17" s="1"/>
      <c r="B17" s="1"/>
      <c r="C17" s="2">
        <v>14.0</v>
      </c>
      <c r="D17" s="2" t="s">
        <v>13</v>
      </c>
      <c r="E17" s="18">
        <v>22000.0</v>
      </c>
      <c r="F17" s="19">
        <v>15000.0</v>
      </c>
      <c r="G17" s="14">
        <f t="shared" si="1"/>
        <v>37000</v>
      </c>
    </row>
    <row r="18" ht="15.75" customHeight="1">
      <c r="A18" s="1"/>
      <c r="B18" s="1"/>
      <c r="C18" s="2">
        <v>15.0</v>
      </c>
      <c r="D18" s="2" t="s">
        <v>8</v>
      </c>
      <c r="E18" s="18">
        <v>33000.0</v>
      </c>
      <c r="F18" s="19">
        <v>23000.0</v>
      </c>
      <c r="G18" s="14">
        <f t="shared" si="1"/>
        <v>56000</v>
      </c>
    </row>
    <row r="19" ht="15.75" customHeight="1">
      <c r="A19" s="1"/>
      <c r="B19" s="1"/>
      <c r="C19" s="2">
        <v>16.0</v>
      </c>
      <c r="D19" s="2" t="s">
        <v>9</v>
      </c>
      <c r="E19" s="18">
        <v>8000.0</v>
      </c>
      <c r="F19" s="19">
        <v>12000.0</v>
      </c>
      <c r="G19" s="14">
        <f t="shared" si="1"/>
        <v>20000</v>
      </c>
    </row>
    <row r="20" ht="15.75" customHeight="1">
      <c r="A20" s="1"/>
      <c r="B20" s="1"/>
      <c r="C20" s="2">
        <v>17.0</v>
      </c>
      <c r="D20" s="2" t="s">
        <v>10</v>
      </c>
      <c r="E20" s="18">
        <v>9000.0</v>
      </c>
      <c r="F20" s="19">
        <v>14000.0</v>
      </c>
      <c r="G20" s="14">
        <f t="shared" si="1"/>
        <v>23000</v>
      </c>
    </row>
    <row r="21" ht="15.75" customHeight="1">
      <c r="A21" s="1"/>
      <c r="B21" s="1"/>
      <c r="C21" s="2">
        <v>18.0</v>
      </c>
      <c r="D21" s="2" t="s">
        <v>11</v>
      </c>
      <c r="E21" s="18">
        <v>7000.0</v>
      </c>
      <c r="F21" s="19">
        <v>4800.0</v>
      </c>
      <c r="G21" s="14">
        <f t="shared" si="1"/>
        <v>11800</v>
      </c>
    </row>
    <row r="22" ht="15.75" customHeight="1">
      <c r="A22" s="1"/>
      <c r="B22" s="1"/>
      <c r="C22" s="2">
        <v>19.0</v>
      </c>
      <c r="D22" s="2" t="s">
        <v>5</v>
      </c>
      <c r="E22" s="18">
        <v>7000.0</v>
      </c>
      <c r="F22" s="19">
        <v>5500.0</v>
      </c>
      <c r="G22" s="14">
        <f t="shared" si="1"/>
        <v>12500</v>
      </c>
    </row>
    <row r="23" ht="15.75" customHeight="1">
      <c r="A23" s="1"/>
      <c r="B23" s="1"/>
      <c r="C23" s="2">
        <v>20.0</v>
      </c>
      <c r="D23" s="2" t="s">
        <v>12</v>
      </c>
      <c r="E23" s="18">
        <v>11000.0</v>
      </c>
      <c r="F23" s="19">
        <v>8000.0</v>
      </c>
      <c r="G23" s="14">
        <f t="shared" si="1"/>
        <v>19000</v>
      </c>
    </row>
    <row r="24" ht="15.75" customHeight="1">
      <c r="A24" s="1"/>
      <c r="B24" s="1"/>
      <c r="C24" s="2">
        <v>21.0</v>
      </c>
      <c r="D24" s="2" t="s">
        <v>7</v>
      </c>
      <c r="E24" s="18">
        <v>20000.0</v>
      </c>
      <c r="F24" s="19">
        <v>14000.0</v>
      </c>
      <c r="G24" s="14">
        <f t="shared" si="1"/>
        <v>34000</v>
      </c>
    </row>
    <row r="25" ht="15.75" customHeight="1">
      <c r="A25" s="1"/>
      <c r="B25" s="1"/>
      <c r="C25" s="2">
        <v>22.0</v>
      </c>
      <c r="D25" s="2" t="s">
        <v>8</v>
      </c>
      <c r="E25" s="18">
        <v>21000.0</v>
      </c>
      <c r="F25" s="19">
        <v>18000.0</v>
      </c>
      <c r="G25" s="14">
        <f t="shared" si="1"/>
        <v>39000</v>
      </c>
    </row>
    <row r="26" ht="15.75" customHeight="1">
      <c r="A26" s="1"/>
      <c r="B26" s="1"/>
      <c r="C26" s="2">
        <v>23.0</v>
      </c>
      <c r="D26" s="2" t="s">
        <v>9</v>
      </c>
      <c r="E26" s="18">
        <v>5000.0</v>
      </c>
      <c r="F26" s="19">
        <v>3800.0</v>
      </c>
      <c r="G26" s="14">
        <f t="shared" si="1"/>
        <v>8800</v>
      </c>
    </row>
    <row r="27" ht="15.75" customHeight="1">
      <c r="A27" s="1"/>
      <c r="B27" s="1"/>
      <c r="C27" s="2">
        <v>24.0</v>
      </c>
      <c r="D27" s="2" t="s">
        <v>10</v>
      </c>
      <c r="E27" s="18">
        <v>6000.0</v>
      </c>
      <c r="F27" s="19">
        <v>4500.0</v>
      </c>
      <c r="G27" s="14">
        <f t="shared" si="1"/>
        <v>10500</v>
      </c>
    </row>
    <row r="28" ht="15.75" customHeight="1">
      <c r="A28" s="1"/>
      <c r="B28" s="1"/>
      <c r="C28" s="2">
        <v>25.0</v>
      </c>
      <c r="D28" s="2" t="s">
        <v>11</v>
      </c>
      <c r="E28" s="18">
        <v>6000.0</v>
      </c>
      <c r="F28" s="19">
        <v>4500.0</v>
      </c>
      <c r="G28" s="14">
        <f t="shared" si="1"/>
        <v>10500</v>
      </c>
    </row>
    <row r="29" ht="15.75" customHeight="1">
      <c r="A29" s="1"/>
      <c r="B29" s="1"/>
      <c r="C29" s="2">
        <v>26.0</v>
      </c>
      <c r="D29" s="2" t="s">
        <v>5</v>
      </c>
      <c r="E29" s="18">
        <v>7000.0</v>
      </c>
      <c r="F29" s="19">
        <v>5500.0</v>
      </c>
      <c r="G29" s="16">
        <f t="shared" si="1"/>
        <v>12500</v>
      </c>
    </row>
    <row r="30" ht="15.75" customHeight="1">
      <c r="A30" s="1"/>
      <c r="B30" s="1"/>
      <c r="C30" s="2">
        <v>27.0</v>
      </c>
      <c r="D30" s="2" t="s">
        <v>12</v>
      </c>
      <c r="E30" s="18">
        <v>11000.0</v>
      </c>
      <c r="F30" s="19">
        <v>8000.0</v>
      </c>
      <c r="G30" s="14">
        <f t="shared" si="1"/>
        <v>19000</v>
      </c>
    </row>
    <row r="31" ht="15.75" customHeight="1">
      <c r="A31" s="1"/>
      <c r="B31" s="1"/>
      <c r="C31" s="2">
        <v>28.0</v>
      </c>
      <c r="D31" s="2" t="s">
        <v>13</v>
      </c>
      <c r="E31" s="18">
        <v>20000.0</v>
      </c>
      <c r="F31" s="19">
        <v>14000.0</v>
      </c>
      <c r="G31" s="14">
        <f t="shared" si="1"/>
        <v>34000</v>
      </c>
    </row>
    <row r="32" ht="15.75" customHeight="1">
      <c r="A32" s="1"/>
      <c r="B32" s="1"/>
      <c r="C32" s="2"/>
      <c r="D32" s="2"/>
      <c r="E32" s="18"/>
      <c r="F32" s="19"/>
      <c r="G32" s="14"/>
    </row>
    <row r="33" ht="15.75" customHeight="1">
      <c r="A33" s="1"/>
      <c r="B33" s="1"/>
      <c r="C33" s="2"/>
      <c r="D33" s="2"/>
      <c r="E33" s="18"/>
      <c r="F33" s="19"/>
      <c r="G33" s="14"/>
    </row>
    <row r="34" ht="15.75" customHeight="1">
      <c r="A34" s="1"/>
      <c r="B34" s="1"/>
      <c r="C34" s="2"/>
      <c r="D34" s="2"/>
      <c r="E34" s="18"/>
      <c r="F34" s="19"/>
      <c r="G34" s="14"/>
    </row>
    <row r="35" ht="15.75" customHeight="1">
      <c r="E35" s="20">
        <f t="shared" ref="E35:F35" si="2">SUM(E4:E34)</f>
        <v>330197.15</v>
      </c>
      <c r="F35" s="19">
        <f t="shared" si="2"/>
        <v>255145.8</v>
      </c>
      <c r="G35" s="14">
        <f>SUM(G4:G33)</f>
        <v>585342.95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">
        <v>1.0</v>
      </c>
      <c r="D4" s="2" t="s">
        <v>8</v>
      </c>
      <c r="E4" s="18">
        <v>20000.0</v>
      </c>
      <c r="F4" s="19">
        <v>18000.0</v>
      </c>
      <c r="G4" s="14">
        <f t="shared" ref="G4:G34" si="1">E4+F4</f>
        <v>38000</v>
      </c>
    </row>
    <row r="5" ht="15.75" customHeight="1">
      <c r="A5" s="1"/>
      <c r="B5" s="1"/>
      <c r="C5" s="2">
        <v>2.0</v>
      </c>
      <c r="D5" s="2" t="s">
        <v>9</v>
      </c>
      <c r="E5" s="18">
        <v>6000.0</v>
      </c>
      <c r="F5" s="19">
        <v>5000.0</v>
      </c>
      <c r="G5" s="14">
        <f t="shared" si="1"/>
        <v>11000</v>
      </c>
    </row>
    <row r="6" ht="15.75" customHeight="1">
      <c r="A6" s="1"/>
      <c r="B6" s="1"/>
      <c r="C6" s="2">
        <v>3.0</v>
      </c>
      <c r="D6" s="2" t="s">
        <v>10</v>
      </c>
      <c r="E6" s="18">
        <v>6000.0</v>
      </c>
      <c r="F6" s="19">
        <v>6000.0</v>
      </c>
      <c r="G6" s="14">
        <f t="shared" si="1"/>
        <v>12000</v>
      </c>
    </row>
    <row r="7" ht="15.75" customHeight="1">
      <c r="A7" s="1"/>
      <c r="B7" s="1"/>
      <c r="C7" s="2">
        <v>4.0</v>
      </c>
      <c r="D7" s="2" t="s">
        <v>11</v>
      </c>
      <c r="E7" s="18">
        <v>6000.0</v>
      </c>
      <c r="F7" s="19">
        <v>6000.0</v>
      </c>
      <c r="G7" s="14">
        <f t="shared" si="1"/>
        <v>12000</v>
      </c>
    </row>
    <row r="8" ht="15.75" customHeight="1">
      <c r="A8" s="1"/>
      <c r="B8" s="1"/>
      <c r="C8" s="2">
        <v>5.0</v>
      </c>
      <c r="D8" s="2" t="s">
        <v>5</v>
      </c>
      <c r="E8" s="18">
        <v>7000.0</v>
      </c>
      <c r="F8" s="19">
        <v>6000.0</v>
      </c>
      <c r="G8" s="14">
        <f t="shared" si="1"/>
        <v>13000</v>
      </c>
    </row>
    <row r="9" ht="15.75" customHeight="1">
      <c r="A9" s="1"/>
      <c r="B9" s="1"/>
      <c r="C9" s="2">
        <v>6.0</v>
      </c>
      <c r="D9" s="2" t="s">
        <v>12</v>
      </c>
      <c r="E9" s="18">
        <v>13000.0</v>
      </c>
      <c r="F9" s="19">
        <v>9000.0</v>
      </c>
      <c r="G9" s="14">
        <f t="shared" si="1"/>
        <v>22000</v>
      </c>
    </row>
    <row r="10" ht="15.75" customHeight="1">
      <c r="A10" s="1"/>
      <c r="B10" s="1"/>
      <c r="C10" s="2">
        <v>7.0</v>
      </c>
      <c r="D10" s="2" t="s">
        <v>13</v>
      </c>
      <c r="E10" s="18">
        <v>23000.0</v>
      </c>
      <c r="F10" s="19">
        <v>14000.0</v>
      </c>
      <c r="G10" s="14">
        <f t="shared" si="1"/>
        <v>37000</v>
      </c>
    </row>
    <row r="11" ht="15.75" customHeight="1">
      <c r="A11" s="1"/>
      <c r="B11" s="1"/>
      <c r="C11" s="2">
        <v>8.0</v>
      </c>
      <c r="D11" s="2" t="s">
        <v>8</v>
      </c>
      <c r="E11" s="18">
        <v>20000.0</v>
      </c>
      <c r="F11" s="19">
        <v>18000.0</v>
      </c>
      <c r="G11" s="14">
        <f t="shared" si="1"/>
        <v>38000</v>
      </c>
    </row>
    <row r="12" ht="15.75" customHeight="1">
      <c r="A12" s="1"/>
      <c r="B12" s="1"/>
      <c r="C12" s="2">
        <v>9.0</v>
      </c>
      <c r="D12" s="2" t="s">
        <v>9</v>
      </c>
      <c r="E12" s="18"/>
      <c r="F12" s="19"/>
      <c r="G12" s="14">
        <f t="shared" si="1"/>
        <v>0</v>
      </c>
    </row>
    <row r="13" ht="15.75" customHeight="1">
      <c r="A13" s="1"/>
      <c r="B13" s="1"/>
      <c r="C13" s="2">
        <v>10.0</v>
      </c>
      <c r="D13" s="2" t="s">
        <v>10</v>
      </c>
      <c r="E13" s="18">
        <v>6000.0</v>
      </c>
      <c r="F13" s="19">
        <v>6000.0</v>
      </c>
      <c r="G13" s="14">
        <f t="shared" si="1"/>
        <v>12000</v>
      </c>
    </row>
    <row r="14" ht="15.75" customHeight="1">
      <c r="A14" s="1"/>
      <c r="B14" s="1"/>
      <c r="C14" s="2">
        <v>11.0</v>
      </c>
      <c r="D14" s="2" t="s">
        <v>11</v>
      </c>
      <c r="E14" s="18">
        <v>6000.0</v>
      </c>
      <c r="F14" s="19">
        <v>6000.0</v>
      </c>
      <c r="G14" s="14">
        <f t="shared" si="1"/>
        <v>12000</v>
      </c>
    </row>
    <row r="15" ht="15.75" customHeight="1">
      <c r="A15" s="1"/>
      <c r="B15" s="1"/>
      <c r="C15" s="2">
        <v>12.0</v>
      </c>
      <c r="D15" s="2" t="s">
        <v>5</v>
      </c>
      <c r="E15" s="18">
        <v>7000.0</v>
      </c>
      <c r="F15" s="19">
        <v>6000.0</v>
      </c>
      <c r="G15" s="14">
        <f t="shared" si="1"/>
        <v>13000</v>
      </c>
    </row>
    <row r="16" ht="15.75" customHeight="1">
      <c r="A16" s="1"/>
      <c r="B16" s="1"/>
      <c r="C16" s="2">
        <v>13.0</v>
      </c>
      <c r="D16" s="2" t="s">
        <v>12</v>
      </c>
      <c r="E16" s="18">
        <v>13000.0</v>
      </c>
      <c r="F16" s="19">
        <v>9000.0</v>
      </c>
      <c r="G16" s="14">
        <f t="shared" si="1"/>
        <v>22000</v>
      </c>
    </row>
    <row r="17" ht="15.75" customHeight="1">
      <c r="A17" s="1"/>
      <c r="B17" s="1"/>
      <c r="C17" s="2">
        <v>14.0</v>
      </c>
      <c r="D17" s="2" t="s">
        <v>13</v>
      </c>
      <c r="E17" s="18">
        <v>23000.0</v>
      </c>
      <c r="F17" s="19">
        <v>14000.0</v>
      </c>
      <c r="G17" s="14">
        <f t="shared" si="1"/>
        <v>37000</v>
      </c>
    </row>
    <row r="18" ht="15.75" customHeight="1">
      <c r="A18" s="1"/>
      <c r="B18" s="1"/>
      <c r="C18" s="2">
        <v>15.0</v>
      </c>
      <c r="D18" s="2" t="s">
        <v>8</v>
      </c>
      <c r="E18" s="18">
        <v>20000.0</v>
      </c>
      <c r="F18" s="19">
        <v>18000.0</v>
      </c>
      <c r="G18" s="14">
        <f t="shared" si="1"/>
        <v>38000</v>
      </c>
    </row>
    <row r="19" ht="15.75" customHeight="1">
      <c r="A19" s="1"/>
      <c r="B19" s="1"/>
      <c r="C19" s="2">
        <v>16.0</v>
      </c>
      <c r="D19" s="2" t="s">
        <v>9</v>
      </c>
      <c r="E19" s="18">
        <v>6000.0</v>
      </c>
      <c r="F19" s="19">
        <v>5000.0</v>
      </c>
      <c r="G19" s="14">
        <f t="shared" si="1"/>
        <v>11000</v>
      </c>
    </row>
    <row r="20" ht="15.75" customHeight="1">
      <c r="A20" s="1"/>
      <c r="B20" s="1"/>
      <c r="C20" s="2">
        <v>17.0</v>
      </c>
      <c r="D20" s="2" t="s">
        <v>10</v>
      </c>
      <c r="E20" s="18">
        <v>6000.0</v>
      </c>
      <c r="F20" s="19">
        <v>6000.0</v>
      </c>
      <c r="G20" s="14">
        <f t="shared" si="1"/>
        <v>12000</v>
      </c>
    </row>
    <row r="21" ht="15.75" customHeight="1">
      <c r="A21" s="1"/>
      <c r="B21" s="1"/>
      <c r="C21" s="2">
        <v>18.0</v>
      </c>
      <c r="D21" s="2" t="s">
        <v>11</v>
      </c>
      <c r="E21" s="18">
        <v>6000.0</v>
      </c>
      <c r="F21" s="19">
        <v>6000.0</v>
      </c>
      <c r="G21" s="14">
        <f t="shared" si="1"/>
        <v>12000</v>
      </c>
    </row>
    <row r="22" ht="15.75" customHeight="1">
      <c r="A22" s="1"/>
      <c r="B22" s="1"/>
      <c r="C22" s="2">
        <v>19.0</v>
      </c>
      <c r="D22" s="2" t="s">
        <v>5</v>
      </c>
      <c r="E22" s="18">
        <v>7000.0</v>
      </c>
      <c r="F22" s="19">
        <v>6000.0</v>
      </c>
      <c r="G22" s="14">
        <f t="shared" si="1"/>
        <v>13000</v>
      </c>
    </row>
    <row r="23" ht="15.75" customHeight="1">
      <c r="A23" s="1"/>
      <c r="B23" s="1"/>
      <c r="C23" s="2">
        <v>20.0</v>
      </c>
      <c r="D23" s="2" t="s">
        <v>12</v>
      </c>
      <c r="E23" s="18">
        <v>13000.0</v>
      </c>
      <c r="F23" s="19">
        <v>9000.0</v>
      </c>
      <c r="G23" s="14">
        <f t="shared" si="1"/>
        <v>22000</v>
      </c>
    </row>
    <row r="24" ht="15.75" customHeight="1">
      <c r="A24" s="1"/>
      <c r="B24" s="1"/>
      <c r="C24" s="2">
        <v>21.0</v>
      </c>
      <c r="D24" s="2" t="s">
        <v>7</v>
      </c>
      <c r="E24" s="18">
        <v>23000.0</v>
      </c>
      <c r="F24" s="19">
        <v>14000.0</v>
      </c>
      <c r="G24" s="14">
        <f t="shared" si="1"/>
        <v>37000</v>
      </c>
    </row>
    <row r="25" ht="15.75" customHeight="1">
      <c r="A25" s="1"/>
      <c r="B25" s="1"/>
      <c r="C25" s="2">
        <v>22.0</v>
      </c>
      <c r="D25" s="2" t="s">
        <v>8</v>
      </c>
      <c r="E25" s="18">
        <v>20000.0</v>
      </c>
      <c r="F25" s="19">
        <v>18000.0</v>
      </c>
      <c r="G25" s="14">
        <f t="shared" si="1"/>
        <v>38000</v>
      </c>
    </row>
    <row r="26" ht="15.75" customHeight="1">
      <c r="A26" s="1"/>
      <c r="B26" s="1"/>
      <c r="C26" s="2">
        <v>23.0</v>
      </c>
      <c r="D26" s="2" t="s">
        <v>9</v>
      </c>
      <c r="E26" s="18">
        <v>6000.0</v>
      </c>
      <c r="F26" s="19">
        <v>5000.0</v>
      </c>
      <c r="G26" s="14">
        <f t="shared" si="1"/>
        <v>11000</v>
      </c>
    </row>
    <row r="27" ht="15.75" customHeight="1">
      <c r="A27" s="1"/>
      <c r="B27" s="1"/>
      <c r="C27" s="2">
        <v>24.0</v>
      </c>
      <c r="D27" s="2" t="s">
        <v>10</v>
      </c>
      <c r="E27" s="18">
        <v>6000.0</v>
      </c>
      <c r="F27" s="19">
        <v>6000.0</v>
      </c>
      <c r="G27" s="14">
        <f t="shared" si="1"/>
        <v>12000</v>
      </c>
    </row>
    <row r="28" ht="15.75" customHeight="1">
      <c r="A28" s="1"/>
      <c r="B28" s="1"/>
      <c r="C28" s="2">
        <v>25.0</v>
      </c>
      <c r="D28" s="2" t="s">
        <v>11</v>
      </c>
      <c r="E28" s="18">
        <v>6000.0</v>
      </c>
      <c r="F28" s="19">
        <v>6000.0</v>
      </c>
      <c r="G28" s="14">
        <f t="shared" si="1"/>
        <v>12000</v>
      </c>
    </row>
    <row r="29" ht="15.75" customHeight="1">
      <c r="A29" s="1"/>
      <c r="B29" s="1"/>
      <c r="C29" s="2">
        <v>26.0</v>
      </c>
      <c r="D29" s="2" t="s">
        <v>5</v>
      </c>
      <c r="E29" s="18">
        <v>7000.0</v>
      </c>
      <c r="F29" s="19">
        <v>6000.0</v>
      </c>
      <c r="G29" s="16">
        <f t="shared" si="1"/>
        <v>13000</v>
      </c>
    </row>
    <row r="30" ht="15.75" customHeight="1">
      <c r="A30" s="1"/>
      <c r="B30" s="1"/>
      <c r="C30" s="2">
        <v>27.0</v>
      </c>
      <c r="D30" s="2" t="s">
        <v>12</v>
      </c>
      <c r="E30" s="18">
        <v>13000.0</v>
      </c>
      <c r="F30" s="19">
        <v>9000.0</v>
      </c>
      <c r="G30" s="14">
        <f t="shared" si="1"/>
        <v>22000</v>
      </c>
    </row>
    <row r="31" ht="15.75" customHeight="1">
      <c r="A31" s="1"/>
      <c r="B31" s="1"/>
      <c r="C31" s="2">
        <v>28.0</v>
      </c>
      <c r="D31" s="2" t="s">
        <v>13</v>
      </c>
      <c r="E31" s="18">
        <v>23000.0</v>
      </c>
      <c r="F31" s="19">
        <v>14000.0</v>
      </c>
      <c r="G31" s="14">
        <f t="shared" si="1"/>
        <v>37000</v>
      </c>
    </row>
    <row r="32" ht="15.75" customHeight="1">
      <c r="A32" s="1"/>
      <c r="B32" s="1"/>
      <c r="C32" s="2">
        <v>29.0</v>
      </c>
      <c r="D32" s="2" t="s">
        <v>8</v>
      </c>
      <c r="E32" s="18">
        <v>20000.0</v>
      </c>
      <c r="F32" s="19">
        <v>18000.0</v>
      </c>
      <c r="G32" s="14">
        <f t="shared" si="1"/>
        <v>38000</v>
      </c>
    </row>
    <row r="33" ht="15.75" customHeight="1">
      <c r="A33" s="1"/>
      <c r="B33" s="1"/>
      <c r="C33" s="2">
        <v>30.0</v>
      </c>
      <c r="D33" s="2" t="s">
        <v>9</v>
      </c>
      <c r="E33" s="18">
        <v>6000.0</v>
      </c>
      <c r="F33" s="19">
        <v>5000.0</v>
      </c>
      <c r="G33" s="14">
        <f t="shared" si="1"/>
        <v>11000</v>
      </c>
    </row>
    <row r="34" ht="15.75" customHeight="1">
      <c r="A34" s="1"/>
      <c r="B34" s="1"/>
      <c r="C34" s="2">
        <v>31.0</v>
      </c>
      <c r="D34" s="2" t="s">
        <v>10</v>
      </c>
      <c r="E34" s="18">
        <v>6000.0</v>
      </c>
      <c r="F34" s="19">
        <v>6000.0</v>
      </c>
      <c r="G34" s="14">
        <f t="shared" si="1"/>
        <v>12000</v>
      </c>
    </row>
    <row r="35" ht="15.75" customHeight="1">
      <c r="E35" s="18">
        <f t="shared" ref="E35:G35" si="2">SUM(E4:E34)</f>
        <v>350000</v>
      </c>
      <c r="F35" s="19">
        <f t="shared" si="2"/>
        <v>280000</v>
      </c>
      <c r="G35" s="14">
        <f t="shared" si="2"/>
        <v>630000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46113.0</v>
      </c>
      <c r="D4" s="2" t="str">
        <f t="shared" ref="D4:D33" si="1">TEXT(C4,"ddd")</f>
        <v>qua.</v>
      </c>
      <c r="E4" s="20">
        <v>7000.0</v>
      </c>
      <c r="F4" s="22">
        <v>6100.0</v>
      </c>
      <c r="G4" s="14">
        <f t="shared" ref="G4:G33" si="2">E4+F4</f>
        <v>13100</v>
      </c>
    </row>
    <row r="5" ht="15.75" customHeight="1">
      <c r="A5" s="1"/>
      <c r="B5" s="1"/>
      <c r="C5" s="21">
        <v>46114.0</v>
      </c>
      <c r="D5" s="2" t="str">
        <f t="shared" si="1"/>
        <v>qui.</v>
      </c>
      <c r="E5" s="20">
        <v>7000.0</v>
      </c>
      <c r="F5" s="22">
        <v>8000.0</v>
      </c>
      <c r="G5" s="14">
        <f t="shared" si="2"/>
        <v>15000</v>
      </c>
    </row>
    <row r="6" ht="15.75" customHeight="1">
      <c r="A6" s="1"/>
      <c r="B6" s="1"/>
      <c r="C6" s="21">
        <v>46115.0</v>
      </c>
      <c r="D6" s="2" t="str">
        <f t="shared" si="1"/>
        <v>sex.</v>
      </c>
      <c r="E6" s="20">
        <v>14000.0</v>
      </c>
      <c r="F6" s="22">
        <v>12000.0</v>
      </c>
      <c r="G6" s="14">
        <f t="shared" si="2"/>
        <v>26000</v>
      </c>
    </row>
    <row r="7" ht="15.75" customHeight="1">
      <c r="A7" s="1"/>
      <c r="B7" s="1"/>
      <c r="C7" s="21">
        <v>46116.0</v>
      </c>
      <c r="D7" s="2" t="str">
        <f t="shared" si="1"/>
        <v>sáb.</v>
      </c>
      <c r="E7" s="20">
        <v>20000.0</v>
      </c>
      <c r="F7" s="22">
        <v>13000.0</v>
      </c>
      <c r="G7" s="14">
        <f t="shared" si="2"/>
        <v>33000</v>
      </c>
    </row>
    <row r="8" ht="15.75" customHeight="1">
      <c r="A8" s="1"/>
      <c r="B8" s="1"/>
      <c r="C8" s="21">
        <v>46117.0</v>
      </c>
      <c r="D8" s="2" t="str">
        <f t="shared" si="1"/>
        <v>dom.</v>
      </c>
      <c r="E8" s="20">
        <v>20000.0</v>
      </c>
      <c r="F8" s="22">
        <v>21000.0</v>
      </c>
      <c r="G8" s="14">
        <f t="shared" si="2"/>
        <v>41000</v>
      </c>
    </row>
    <row r="9" ht="15.75" customHeight="1">
      <c r="A9" s="1"/>
      <c r="B9" s="1"/>
      <c r="C9" s="21">
        <v>46118.0</v>
      </c>
      <c r="D9" s="2" t="str">
        <f t="shared" si="1"/>
        <v>seg.</v>
      </c>
      <c r="E9" s="20">
        <v>4000.0</v>
      </c>
      <c r="F9" s="22">
        <v>3100.0</v>
      </c>
      <c r="G9" s="14">
        <f t="shared" si="2"/>
        <v>7100</v>
      </c>
    </row>
    <row r="10" ht="15.75" customHeight="1">
      <c r="A10" s="1"/>
      <c r="B10" s="1"/>
      <c r="C10" s="21">
        <v>46119.0</v>
      </c>
      <c r="D10" s="2" t="str">
        <f t="shared" si="1"/>
        <v>ter.</v>
      </c>
      <c r="E10" s="20">
        <v>4000.0</v>
      </c>
      <c r="F10" s="22">
        <v>3500.0</v>
      </c>
      <c r="G10" s="14">
        <f t="shared" si="2"/>
        <v>7500</v>
      </c>
    </row>
    <row r="11" ht="15.75" customHeight="1">
      <c r="A11" s="1"/>
      <c r="B11" s="1"/>
      <c r="C11" s="21">
        <v>46120.0</v>
      </c>
      <c r="D11" s="2" t="str">
        <f t="shared" si="1"/>
        <v>qua.</v>
      </c>
      <c r="E11" s="20">
        <v>7000.0</v>
      </c>
      <c r="F11" s="22">
        <v>3500.0</v>
      </c>
      <c r="G11" s="14">
        <f t="shared" si="2"/>
        <v>10500</v>
      </c>
    </row>
    <row r="12" ht="15.75" customHeight="1">
      <c r="A12" s="1"/>
      <c r="B12" s="1"/>
      <c r="C12" s="21">
        <v>46121.0</v>
      </c>
      <c r="D12" s="2" t="str">
        <f t="shared" si="1"/>
        <v>qui.</v>
      </c>
      <c r="E12" s="20">
        <v>7000.0</v>
      </c>
      <c r="F12" s="22">
        <v>4000.0</v>
      </c>
      <c r="G12" s="14">
        <f t="shared" si="2"/>
        <v>11000</v>
      </c>
    </row>
    <row r="13" ht="15.75" customHeight="1">
      <c r="A13" s="1"/>
      <c r="B13" s="1"/>
      <c r="C13" s="21">
        <v>46122.0</v>
      </c>
      <c r="D13" s="2" t="str">
        <f t="shared" si="1"/>
        <v>sex.</v>
      </c>
      <c r="E13" s="20">
        <v>14000.0</v>
      </c>
      <c r="F13" s="22">
        <v>10500.0</v>
      </c>
      <c r="G13" s="14">
        <f t="shared" si="2"/>
        <v>24500</v>
      </c>
    </row>
    <row r="14" ht="15.75" customHeight="1">
      <c r="A14" s="1"/>
      <c r="B14" s="1"/>
      <c r="C14" s="21">
        <v>46123.0</v>
      </c>
      <c r="D14" s="2" t="str">
        <f t="shared" si="1"/>
        <v>sáb.</v>
      </c>
      <c r="E14" s="3">
        <v>20000.0</v>
      </c>
      <c r="F14" s="22">
        <v>13000.0</v>
      </c>
      <c r="G14" s="14">
        <f t="shared" si="2"/>
        <v>33000</v>
      </c>
    </row>
    <row r="15" ht="15.75" customHeight="1">
      <c r="A15" s="1"/>
      <c r="B15" s="1"/>
      <c r="C15" s="21">
        <v>46124.0</v>
      </c>
      <c r="D15" s="2" t="str">
        <f t="shared" si="1"/>
        <v>dom.</v>
      </c>
      <c r="E15" s="20">
        <v>20000.0</v>
      </c>
      <c r="F15" s="22">
        <v>21000.0</v>
      </c>
      <c r="G15" s="14">
        <f t="shared" si="2"/>
        <v>41000</v>
      </c>
    </row>
    <row r="16" ht="15.75" customHeight="1">
      <c r="A16" s="1"/>
      <c r="B16" s="1"/>
      <c r="C16" s="21">
        <v>46125.0</v>
      </c>
      <c r="D16" s="2" t="str">
        <f t="shared" si="1"/>
        <v>seg.</v>
      </c>
      <c r="E16" s="20">
        <v>4000.0</v>
      </c>
      <c r="F16" s="22">
        <v>3100.0</v>
      </c>
      <c r="G16" s="14">
        <f t="shared" si="2"/>
        <v>7100</v>
      </c>
    </row>
    <row r="17" ht="15.75" customHeight="1">
      <c r="A17" s="1"/>
      <c r="B17" s="1"/>
      <c r="C17" s="21">
        <v>46126.0</v>
      </c>
      <c r="D17" s="2" t="str">
        <f t="shared" si="1"/>
        <v>ter.</v>
      </c>
      <c r="E17" s="20">
        <v>4000.0</v>
      </c>
      <c r="F17" s="22">
        <v>3500.0</v>
      </c>
      <c r="G17" s="14">
        <f t="shared" si="2"/>
        <v>7500</v>
      </c>
    </row>
    <row r="18" ht="15.75" customHeight="1">
      <c r="A18" s="1"/>
      <c r="B18" s="1"/>
      <c r="C18" s="21">
        <v>46127.0</v>
      </c>
      <c r="D18" s="2" t="str">
        <f t="shared" si="1"/>
        <v>qua.</v>
      </c>
      <c r="E18" s="20">
        <v>7000.0</v>
      </c>
      <c r="F18" s="22">
        <v>3500.0</v>
      </c>
      <c r="G18" s="14">
        <f t="shared" si="2"/>
        <v>10500</v>
      </c>
    </row>
    <row r="19" ht="15.75" customHeight="1">
      <c r="A19" s="1"/>
      <c r="B19" s="1"/>
      <c r="C19" s="21">
        <v>46128.0</v>
      </c>
      <c r="D19" s="2" t="str">
        <f t="shared" si="1"/>
        <v>qui.</v>
      </c>
      <c r="E19" s="20">
        <v>7000.0</v>
      </c>
      <c r="F19" s="22">
        <v>4000.0</v>
      </c>
      <c r="G19" s="14">
        <f t="shared" si="2"/>
        <v>11000</v>
      </c>
    </row>
    <row r="20" ht="15.75" customHeight="1">
      <c r="A20" s="1"/>
      <c r="B20" s="1"/>
      <c r="C20" s="21">
        <v>46129.0</v>
      </c>
      <c r="D20" s="2" t="str">
        <f t="shared" si="1"/>
        <v>sex.</v>
      </c>
      <c r="E20" s="20">
        <v>14000.0</v>
      </c>
      <c r="F20" s="22">
        <v>10500.0</v>
      </c>
      <c r="G20" s="14">
        <f t="shared" si="2"/>
        <v>24500</v>
      </c>
    </row>
    <row r="21" ht="15.75" customHeight="1">
      <c r="A21" s="1"/>
      <c r="B21" s="1"/>
      <c r="C21" s="21">
        <v>46130.0</v>
      </c>
      <c r="D21" s="2" t="str">
        <f t="shared" si="1"/>
        <v>sáb.</v>
      </c>
      <c r="E21" s="20">
        <v>20000.0</v>
      </c>
      <c r="F21" s="22">
        <v>13000.0</v>
      </c>
      <c r="G21" s="14">
        <f t="shared" si="2"/>
        <v>33000</v>
      </c>
    </row>
    <row r="22" ht="15.75" customHeight="1">
      <c r="A22" s="1"/>
      <c r="B22" s="1"/>
      <c r="C22" s="21">
        <v>46131.0</v>
      </c>
      <c r="D22" s="2" t="str">
        <f t="shared" si="1"/>
        <v>dom.</v>
      </c>
      <c r="E22" s="20">
        <v>20000.0</v>
      </c>
      <c r="F22" s="22">
        <v>21000.0</v>
      </c>
      <c r="G22" s="14">
        <f t="shared" si="2"/>
        <v>41000</v>
      </c>
    </row>
    <row r="23" ht="15.75" customHeight="1">
      <c r="A23" s="1"/>
      <c r="B23" s="1"/>
      <c r="C23" s="21">
        <v>46132.0</v>
      </c>
      <c r="D23" s="2" t="str">
        <f t="shared" si="1"/>
        <v>seg.</v>
      </c>
      <c r="E23" s="20">
        <v>4000.0</v>
      </c>
      <c r="F23" s="22">
        <v>3100.0</v>
      </c>
      <c r="G23" s="14">
        <f t="shared" si="2"/>
        <v>7100</v>
      </c>
    </row>
    <row r="24" ht="15.75" customHeight="1">
      <c r="A24" s="1"/>
      <c r="B24" s="1"/>
      <c r="C24" s="21">
        <v>46133.0</v>
      </c>
      <c r="D24" s="2" t="str">
        <f t="shared" si="1"/>
        <v>ter.</v>
      </c>
      <c r="E24" s="20">
        <v>5000.0</v>
      </c>
      <c r="F24" s="22">
        <v>3500.0</v>
      </c>
      <c r="G24" s="14">
        <f t="shared" si="2"/>
        <v>8500</v>
      </c>
    </row>
    <row r="25" ht="15.75" customHeight="1">
      <c r="A25" s="1"/>
      <c r="B25" s="1"/>
      <c r="C25" s="21">
        <v>46134.0</v>
      </c>
      <c r="D25" s="2" t="str">
        <f t="shared" si="1"/>
        <v>qua.</v>
      </c>
      <c r="E25" s="20">
        <f t="shared" ref="E25:E26" si="3">7000*35%+7000</f>
        <v>9450</v>
      </c>
      <c r="F25" s="22">
        <v>3500.0</v>
      </c>
      <c r="G25" s="14">
        <f t="shared" si="2"/>
        <v>12950</v>
      </c>
    </row>
    <row r="26" ht="15.75" customHeight="1">
      <c r="A26" s="1"/>
      <c r="B26" s="1"/>
      <c r="C26" s="21">
        <v>46135.0</v>
      </c>
      <c r="D26" s="2" t="str">
        <f t="shared" si="1"/>
        <v>qui.</v>
      </c>
      <c r="E26" s="20">
        <f t="shared" si="3"/>
        <v>9450</v>
      </c>
      <c r="F26" s="22">
        <v>4000.0</v>
      </c>
      <c r="G26" s="14">
        <f t="shared" si="2"/>
        <v>13450</v>
      </c>
    </row>
    <row r="27" ht="15.75" customHeight="1">
      <c r="A27" s="1"/>
      <c r="B27" s="1"/>
      <c r="C27" s="21">
        <v>46136.0</v>
      </c>
      <c r="D27" s="2" t="str">
        <f t="shared" si="1"/>
        <v>sex.</v>
      </c>
      <c r="E27" s="20">
        <f>14000*35%+14000</f>
        <v>18900</v>
      </c>
      <c r="F27" s="22">
        <v>10500.0</v>
      </c>
      <c r="G27" s="14">
        <f t="shared" si="2"/>
        <v>29400</v>
      </c>
    </row>
    <row r="28" ht="15.75" customHeight="1">
      <c r="A28" s="1"/>
      <c r="B28" s="1"/>
      <c r="C28" s="21">
        <v>46137.0</v>
      </c>
      <c r="D28" s="2" t="str">
        <f t="shared" si="1"/>
        <v>sáb.</v>
      </c>
      <c r="E28" s="20">
        <f t="shared" ref="E28:E29" si="4">20000*35%+20000</f>
        <v>27000</v>
      </c>
      <c r="F28" s="22">
        <v>13000.0</v>
      </c>
      <c r="G28" s="14">
        <f t="shared" si="2"/>
        <v>40000</v>
      </c>
    </row>
    <row r="29" ht="15.75" customHeight="1">
      <c r="A29" s="1"/>
      <c r="B29" s="1"/>
      <c r="C29" s="23">
        <v>46138.0</v>
      </c>
      <c r="D29" s="24" t="str">
        <f t="shared" si="1"/>
        <v>dom.</v>
      </c>
      <c r="E29" s="25">
        <f t="shared" si="4"/>
        <v>27000</v>
      </c>
      <c r="F29" s="26">
        <v>21000.0</v>
      </c>
      <c r="G29" s="16">
        <f t="shared" si="2"/>
        <v>48000</v>
      </c>
    </row>
    <row r="30" ht="15.75" customHeight="1">
      <c r="A30" s="1"/>
      <c r="B30" s="1"/>
      <c r="C30" s="27">
        <v>46139.0</v>
      </c>
      <c r="D30" s="28" t="str">
        <f t="shared" si="1"/>
        <v>seg.</v>
      </c>
      <c r="E30" s="29">
        <f t="shared" ref="E30:E31" si="5">4000*30%+4000</f>
        <v>5200</v>
      </c>
      <c r="F30" s="30">
        <v>3100.0</v>
      </c>
      <c r="G30" s="14">
        <f t="shared" si="2"/>
        <v>8300</v>
      </c>
    </row>
    <row r="31" ht="15.75" customHeight="1">
      <c r="A31" s="1"/>
      <c r="B31" s="1"/>
      <c r="C31" s="21">
        <v>46140.0</v>
      </c>
      <c r="D31" s="2" t="str">
        <f t="shared" si="1"/>
        <v>ter.</v>
      </c>
      <c r="E31" s="20">
        <f t="shared" si="5"/>
        <v>5200</v>
      </c>
      <c r="F31" s="22">
        <v>3500.0</v>
      </c>
      <c r="G31" s="14">
        <f t="shared" si="2"/>
        <v>8700</v>
      </c>
    </row>
    <row r="32" ht="15.75" customHeight="1">
      <c r="A32" s="1"/>
      <c r="B32" s="1"/>
      <c r="C32" s="21">
        <v>46141.0</v>
      </c>
      <c r="D32" s="2" t="str">
        <f t="shared" si="1"/>
        <v>qua.</v>
      </c>
      <c r="E32" s="20">
        <f t="shared" ref="E32:E33" si="6">7000*35%+7000</f>
        <v>9450</v>
      </c>
      <c r="F32" s="22">
        <v>3500.0</v>
      </c>
      <c r="G32" s="14">
        <f t="shared" si="2"/>
        <v>12950</v>
      </c>
    </row>
    <row r="33" ht="15.75" customHeight="1">
      <c r="A33" s="1"/>
      <c r="B33" s="1"/>
      <c r="C33" s="21">
        <v>46142.0</v>
      </c>
      <c r="D33" s="2" t="str">
        <f t="shared" si="1"/>
        <v>qui.</v>
      </c>
      <c r="E33" s="20">
        <f t="shared" si="6"/>
        <v>9450</v>
      </c>
      <c r="F33" s="22">
        <v>4000.0</v>
      </c>
      <c r="G33" s="14">
        <f t="shared" si="2"/>
        <v>13450</v>
      </c>
    </row>
    <row r="34" ht="15.75" customHeight="1">
      <c r="A34" s="1"/>
      <c r="B34" s="1"/>
      <c r="C34" s="21"/>
      <c r="D34" s="2"/>
      <c r="E34" s="20"/>
      <c r="F34" s="22"/>
      <c r="G34" s="14"/>
    </row>
    <row r="35" ht="15.75" customHeight="1">
      <c r="E35" s="18">
        <f t="shared" ref="E35:G35" si="7">SUM(E4:E33)</f>
        <v>350100</v>
      </c>
      <c r="F35" s="19">
        <f t="shared" si="7"/>
        <v>250000</v>
      </c>
      <c r="G35" s="14">
        <f t="shared" si="7"/>
        <v>600100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5">
        <v>46143.0</v>
      </c>
      <c r="D4" s="6" t="str">
        <f t="shared" ref="D4:D34" si="1">TEXT(C4,"ddd")</f>
        <v>sex.</v>
      </c>
      <c r="E4" s="7">
        <f>26234</f>
        <v>26234</v>
      </c>
      <c r="F4" s="8">
        <f>9055.3+5574.84-1019.57</f>
        <v>13610.57</v>
      </c>
      <c r="G4" s="14">
        <f t="shared" ref="G4:G34" si="2">E4+F4</f>
        <v>39844.57</v>
      </c>
    </row>
    <row r="5" ht="15.75" customHeight="1">
      <c r="A5" s="1"/>
      <c r="B5" s="1"/>
      <c r="C5" s="5">
        <v>46144.0</v>
      </c>
      <c r="D5" s="6" t="str">
        <f t="shared" si="1"/>
        <v>sáb.</v>
      </c>
      <c r="E5" s="7">
        <f>33184.09-40</f>
        <v>33144.09</v>
      </c>
      <c r="F5" s="8">
        <f>8785.12+5663.54-970.31</f>
        <v>13478.35</v>
      </c>
      <c r="G5" s="14">
        <f t="shared" si="2"/>
        <v>46622.44</v>
      </c>
    </row>
    <row r="6" ht="15.75" customHeight="1">
      <c r="A6" s="1"/>
      <c r="B6" s="1"/>
      <c r="C6" s="5">
        <v>46145.0</v>
      </c>
      <c r="D6" s="6" t="str">
        <f t="shared" si="1"/>
        <v>dom.</v>
      </c>
      <c r="E6" s="7">
        <f>12772.5-1143.7+13732.6-1253.41-280</f>
        <v>23827.99</v>
      </c>
      <c r="F6" s="8">
        <f>13471.6+7097.44-1581.5</f>
        <v>18987.54</v>
      </c>
      <c r="G6" s="14">
        <f t="shared" si="2"/>
        <v>42815.53</v>
      </c>
    </row>
    <row r="7" ht="15.75" customHeight="1">
      <c r="A7" s="1"/>
      <c r="B7" s="1"/>
      <c r="C7" s="5">
        <v>46146.0</v>
      </c>
      <c r="D7" s="6" t="str">
        <f t="shared" si="1"/>
        <v>seg.</v>
      </c>
      <c r="E7" s="31">
        <v>6000.0</v>
      </c>
      <c r="F7" s="32">
        <v>3700.0</v>
      </c>
      <c r="G7" s="14">
        <f t="shared" si="2"/>
        <v>9700</v>
      </c>
    </row>
    <row r="8" ht="15.75" customHeight="1">
      <c r="A8" s="1"/>
      <c r="B8" s="1"/>
      <c r="C8" s="5">
        <v>46147.0</v>
      </c>
      <c r="D8" s="6" t="str">
        <f t="shared" si="1"/>
        <v>ter.</v>
      </c>
      <c r="E8" s="31">
        <v>6500.0</v>
      </c>
      <c r="F8" s="32">
        <v>3700.0</v>
      </c>
      <c r="G8" s="14">
        <f t="shared" si="2"/>
        <v>10200</v>
      </c>
    </row>
    <row r="9" ht="15.75" customHeight="1">
      <c r="A9" s="1"/>
      <c r="B9" s="1"/>
      <c r="C9" s="5">
        <v>46148.0</v>
      </c>
      <c r="D9" s="6" t="str">
        <f t="shared" si="1"/>
        <v>qua.</v>
      </c>
      <c r="E9" s="31">
        <v>8700.0</v>
      </c>
      <c r="F9" s="32">
        <v>4750.0</v>
      </c>
      <c r="G9" s="14">
        <f t="shared" si="2"/>
        <v>13450</v>
      </c>
    </row>
    <row r="10" ht="15.75" customHeight="1">
      <c r="A10" s="1"/>
      <c r="B10" s="1"/>
      <c r="C10" s="5">
        <v>46149.0</v>
      </c>
      <c r="D10" s="6" t="str">
        <f t="shared" si="1"/>
        <v>qui.</v>
      </c>
      <c r="E10" s="31">
        <v>12000.0</v>
      </c>
      <c r="F10" s="32">
        <v>4700.0</v>
      </c>
      <c r="G10" s="14">
        <f t="shared" si="2"/>
        <v>16700</v>
      </c>
    </row>
    <row r="11" ht="15.75" customHeight="1">
      <c r="A11" s="1"/>
      <c r="B11" s="1"/>
      <c r="C11" s="5">
        <v>46150.0</v>
      </c>
      <c r="D11" s="6" t="str">
        <f t="shared" si="1"/>
        <v>sex.</v>
      </c>
      <c r="E11" s="31">
        <v>18000.0</v>
      </c>
      <c r="F11" s="32">
        <v>12000.0</v>
      </c>
      <c r="G11" s="14">
        <f t="shared" si="2"/>
        <v>30000</v>
      </c>
    </row>
    <row r="12" ht="15.75" customHeight="1">
      <c r="A12" s="1"/>
      <c r="B12" s="1"/>
      <c r="C12" s="5">
        <v>46151.0</v>
      </c>
      <c r="D12" s="6" t="str">
        <f t="shared" si="1"/>
        <v>sáb.</v>
      </c>
      <c r="E12" s="31">
        <v>30000.0</v>
      </c>
      <c r="F12" s="32">
        <v>12900.0</v>
      </c>
      <c r="G12" s="14">
        <f t="shared" si="2"/>
        <v>42900</v>
      </c>
    </row>
    <row r="13" ht="15.75" customHeight="1">
      <c r="A13" s="1"/>
      <c r="B13" s="1"/>
      <c r="C13" s="5">
        <v>46152.0</v>
      </c>
      <c r="D13" s="6" t="str">
        <f t="shared" si="1"/>
        <v>dom.</v>
      </c>
      <c r="E13" s="31">
        <v>23000.0</v>
      </c>
      <c r="F13" s="32">
        <v>23000.0</v>
      </c>
      <c r="G13" s="14">
        <f t="shared" si="2"/>
        <v>46000</v>
      </c>
    </row>
    <row r="14" ht="15.75" customHeight="1">
      <c r="A14" s="1"/>
      <c r="B14" s="1"/>
      <c r="C14" s="5">
        <v>46153.0</v>
      </c>
      <c r="D14" s="6" t="str">
        <f t="shared" si="1"/>
        <v>seg.</v>
      </c>
      <c r="E14" s="31">
        <v>6000.0</v>
      </c>
      <c r="F14" s="32">
        <v>3700.0</v>
      </c>
      <c r="G14" s="14">
        <f t="shared" si="2"/>
        <v>9700</v>
      </c>
    </row>
    <row r="15" ht="15.75" customHeight="1">
      <c r="A15" s="1"/>
      <c r="B15" s="1"/>
      <c r="C15" s="5">
        <v>46154.0</v>
      </c>
      <c r="D15" s="6" t="str">
        <f t="shared" si="1"/>
        <v>ter.</v>
      </c>
      <c r="E15" s="31">
        <v>6500.0</v>
      </c>
      <c r="F15" s="32">
        <v>3700.0</v>
      </c>
      <c r="G15" s="14">
        <f t="shared" si="2"/>
        <v>10200</v>
      </c>
    </row>
    <row r="16" ht="15.75" customHeight="1">
      <c r="A16" s="1"/>
      <c r="B16" s="1"/>
      <c r="C16" s="5">
        <v>46155.0</v>
      </c>
      <c r="D16" s="6" t="str">
        <f t="shared" si="1"/>
        <v>qua.</v>
      </c>
      <c r="E16" s="31">
        <v>8700.0</v>
      </c>
      <c r="F16" s="32">
        <v>4750.0</v>
      </c>
      <c r="G16" s="14">
        <f t="shared" si="2"/>
        <v>13450</v>
      </c>
    </row>
    <row r="17" ht="15.75" customHeight="1">
      <c r="A17" s="1"/>
      <c r="B17" s="1"/>
      <c r="C17" s="5">
        <v>46156.0</v>
      </c>
      <c r="D17" s="6" t="str">
        <f t="shared" si="1"/>
        <v>qui.</v>
      </c>
      <c r="E17" s="31">
        <v>12000.0</v>
      </c>
      <c r="F17" s="32">
        <v>4700.0</v>
      </c>
      <c r="G17" s="14">
        <f t="shared" si="2"/>
        <v>16700</v>
      </c>
    </row>
    <row r="18" ht="15.75" customHeight="1">
      <c r="A18" s="1"/>
      <c r="B18" s="1"/>
      <c r="C18" s="5">
        <v>46157.0</v>
      </c>
      <c r="D18" s="6" t="str">
        <f t="shared" si="1"/>
        <v>sex.</v>
      </c>
      <c r="E18" s="31">
        <v>18000.0</v>
      </c>
      <c r="F18" s="32">
        <v>12000.0</v>
      </c>
      <c r="G18" s="14">
        <f t="shared" si="2"/>
        <v>30000</v>
      </c>
    </row>
    <row r="19" ht="15.75" customHeight="1">
      <c r="A19" s="1"/>
      <c r="B19" s="1"/>
      <c r="C19" s="5">
        <v>46158.0</v>
      </c>
      <c r="D19" s="6" t="str">
        <f t="shared" si="1"/>
        <v>sáb.</v>
      </c>
      <c r="E19" s="31">
        <v>30000.0</v>
      </c>
      <c r="F19" s="32">
        <v>12900.0</v>
      </c>
      <c r="G19" s="14">
        <f t="shared" si="2"/>
        <v>42900</v>
      </c>
    </row>
    <row r="20" ht="15.75" customHeight="1">
      <c r="A20" s="1"/>
      <c r="B20" s="1"/>
      <c r="C20" s="5">
        <v>46159.0</v>
      </c>
      <c r="D20" s="6" t="str">
        <f t="shared" si="1"/>
        <v>dom.</v>
      </c>
      <c r="E20" s="31">
        <v>23000.0</v>
      </c>
      <c r="F20" s="32">
        <v>21000.0</v>
      </c>
      <c r="G20" s="14">
        <f t="shared" si="2"/>
        <v>44000</v>
      </c>
    </row>
    <row r="21" ht="15.75" customHeight="1">
      <c r="A21" s="1"/>
      <c r="B21" s="1"/>
      <c r="C21" s="5">
        <v>46160.0</v>
      </c>
      <c r="D21" s="6" t="str">
        <f t="shared" si="1"/>
        <v>seg.</v>
      </c>
      <c r="E21" s="31">
        <v>6000.0</v>
      </c>
      <c r="F21" s="32">
        <v>3700.0</v>
      </c>
      <c r="G21" s="14">
        <f t="shared" si="2"/>
        <v>9700</v>
      </c>
    </row>
    <row r="22" ht="15.75" customHeight="1">
      <c r="A22" s="1"/>
      <c r="B22" s="1"/>
      <c r="C22" s="5">
        <v>46161.0</v>
      </c>
      <c r="D22" s="6" t="str">
        <f t="shared" si="1"/>
        <v>ter.</v>
      </c>
      <c r="E22" s="31">
        <v>6500.0</v>
      </c>
      <c r="F22" s="32">
        <v>3700.0</v>
      </c>
      <c r="G22" s="14">
        <f t="shared" si="2"/>
        <v>10200</v>
      </c>
    </row>
    <row r="23" ht="15.75" customHeight="1">
      <c r="A23" s="1"/>
      <c r="B23" s="1"/>
      <c r="C23" s="5">
        <v>46162.0</v>
      </c>
      <c r="D23" s="6" t="str">
        <f t="shared" si="1"/>
        <v>qua.</v>
      </c>
      <c r="E23" s="31">
        <v>8700.0</v>
      </c>
      <c r="F23" s="32">
        <v>4750.0</v>
      </c>
      <c r="G23" s="14">
        <f t="shared" si="2"/>
        <v>13450</v>
      </c>
    </row>
    <row r="24" ht="15.75" customHeight="1">
      <c r="A24" s="1"/>
      <c r="B24" s="1"/>
      <c r="C24" s="5">
        <v>46163.0</v>
      </c>
      <c r="D24" s="6" t="str">
        <f t="shared" si="1"/>
        <v>qui.</v>
      </c>
      <c r="E24" s="31">
        <v>12000.0</v>
      </c>
      <c r="F24" s="32">
        <v>4700.0</v>
      </c>
      <c r="G24" s="14">
        <f t="shared" si="2"/>
        <v>16700</v>
      </c>
    </row>
    <row r="25" ht="15.75" customHeight="1">
      <c r="A25" s="1"/>
      <c r="B25" s="1"/>
      <c r="C25" s="5">
        <v>46164.0</v>
      </c>
      <c r="D25" s="6" t="str">
        <f t="shared" si="1"/>
        <v>sex.</v>
      </c>
      <c r="E25" s="31">
        <v>18000.0</v>
      </c>
      <c r="F25" s="32">
        <v>12000.0</v>
      </c>
      <c r="G25" s="14">
        <f t="shared" si="2"/>
        <v>30000</v>
      </c>
    </row>
    <row r="26" ht="15.75" customHeight="1">
      <c r="A26" s="1"/>
      <c r="B26" s="1"/>
      <c r="C26" s="5">
        <v>46165.0</v>
      </c>
      <c r="D26" s="6" t="str">
        <f t="shared" si="1"/>
        <v>sáb.</v>
      </c>
      <c r="E26" s="31">
        <v>30000.0</v>
      </c>
      <c r="F26" s="32">
        <v>12900.0</v>
      </c>
      <c r="G26" s="14">
        <f t="shared" si="2"/>
        <v>42900</v>
      </c>
    </row>
    <row r="27" ht="15.75" customHeight="1">
      <c r="A27" s="1"/>
      <c r="B27" s="1"/>
      <c r="C27" s="5">
        <v>46166.0</v>
      </c>
      <c r="D27" s="6" t="str">
        <f t="shared" si="1"/>
        <v>dom.</v>
      </c>
      <c r="E27" s="31">
        <v>23000.0</v>
      </c>
      <c r="F27" s="32">
        <v>21000.0</v>
      </c>
      <c r="G27" s="14">
        <f t="shared" si="2"/>
        <v>44000</v>
      </c>
    </row>
    <row r="28" ht="15.75" customHeight="1">
      <c r="A28" s="1"/>
      <c r="B28" s="1"/>
      <c r="C28" s="5">
        <v>46167.0</v>
      </c>
      <c r="D28" s="6" t="str">
        <f t="shared" si="1"/>
        <v>seg.</v>
      </c>
      <c r="E28" s="31">
        <v>6000.0</v>
      </c>
      <c r="F28" s="32">
        <v>3700.0</v>
      </c>
      <c r="G28" s="14">
        <f t="shared" si="2"/>
        <v>9700</v>
      </c>
    </row>
    <row r="29" ht="15.75" customHeight="1">
      <c r="A29" s="1"/>
      <c r="B29" s="1"/>
      <c r="C29" s="5">
        <v>46168.0</v>
      </c>
      <c r="D29" s="6" t="str">
        <f t="shared" si="1"/>
        <v>ter.</v>
      </c>
      <c r="E29" s="31">
        <v>6500.0</v>
      </c>
      <c r="F29" s="32">
        <v>3700.0</v>
      </c>
      <c r="G29" s="16">
        <f t="shared" si="2"/>
        <v>10200</v>
      </c>
    </row>
    <row r="30" ht="15.75" customHeight="1">
      <c r="A30" s="1"/>
      <c r="B30" s="1"/>
      <c r="C30" s="5">
        <v>46169.0</v>
      </c>
      <c r="D30" s="6" t="str">
        <f t="shared" si="1"/>
        <v>qua.</v>
      </c>
      <c r="E30" s="31">
        <v>8700.0</v>
      </c>
      <c r="F30" s="32">
        <v>4750.0</v>
      </c>
      <c r="G30" s="14">
        <f t="shared" si="2"/>
        <v>13450</v>
      </c>
    </row>
    <row r="31" ht="15.75" customHeight="1">
      <c r="A31" s="1"/>
      <c r="B31" s="1"/>
      <c r="C31" s="5">
        <v>46170.0</v>
      </c>
      <c r="D31" s="6" t="str">
        <f t="shared" si="1"/>
        <v>qui.</v>
      </c>
      <c r="E31" s="31">
        <v>12000.0</v>
      </c>
      <c r="F31" s="32">
        <v>4700.0</v>
      </c>
      <c r="G31" s="14">
        <f t="shared" si="2"/>
        <v>16700</v>
      </c>
    </row>
    <row r="32" ht="15.75" customHeight="1">
      <c r="A32" s="1"/>
      <c r="B32" s="1"/>
      <c r="C32" s="5">
        <v>46171.0</v>
      </c>
      <c r="D32" s="6" t="str">
        <f t="shared" si="1"/>
        <v>sex.</v>
      </c>
      <c r="E32" s="31">
        <v>18000.0</v>
      </c>
      <c r="F32" s="32">
        <v>12000.0</v>
      </c>
      <c r="G32" s="14">
        <f t="shared" si="2"/>
        <v>30000</v>
      </c>
    </row>
    <row r="33" ht="15.75" customHeight="1">
      <c r="A33" s="1"/>
      <c r="B33" s="1"/>
      <c r="C33" s="5">
        <v>46172.0</v>
      </c>
      <c r="D33" s="6" t="str">
        <f t="shared" si="1"/>
        <v>sáb.</v>
      </c>
      <c r="E33" s="31">
        <v>30000.0</v>
      </c>
      <c r="F33" s="32">
        <v>12900.0</v>
      </c>
      <c r="G33" s="14">
        <f t="shared" si="2"/>
        <v>42900</v>
      </c>
    </row>
    <row r="34" ht="15.75" customHeight="1">
      <c r="A34" s="1"/>
      <c r="B34" s="1"/>
      <c r="C34" s="5">
        <v>46173.0</v>
      </c>
      <c r="D34" s="6" t="str">
        <f t="shared" si="1"/>
        <v>dom.</v>
      </c>
      <c r="E34" s="31">
        <v>23000.0</v>
      </c>
      <c r="F34" s="32">
        <v>22000.0</v>
      </c>
      <c r="G34" s="14">
        <f t="shared" si="2"/>
        <v>45000</v>
      </c>
    </row>
    <row r="35" ht="15.75" customHeight="1">
      <c r="E35" s="18">
        <f t="shared" ref="E35:F35" si="3">SUM(E4:E34)</f>
        <v>500006.08</v>
      </c>
      <c r="F35" s="19">
        <f t="shared" si="3"/>
        <v>300076.46</v>
      </c>
      <c r="G35" s="14">
        <f>SUM(G4:G33)</f>
        <v>755082.54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46174.0</v>
      </c>
      <c r="D4" s="2" t="str">
        <f t="shared" ref="D4:D33" si="1">TEXT(C4,"ddd")</f>
        <v>seg.</v>
      </c>
      <c r="E4" s="20"/>
      <c r="F4" s="22"/>
      <c r="G4" s="14">
        <f t="shared" ref="G4:G34" si="2">E4+F4</f>
        <v>0</v>
      </c>
    </row>
    <row r="5" ht="15.75" customHeight="1">
      <c r="A5" s="1"/>
      <c r="B5" s="1"/>
      <c r="C5" s="21">
        <v>46175.0</v>
      </c>
      <c r="D5" s="2" t="str">
        <f t="shared" si="1"/>
        <v>ter.</v>
      </c>
      <c r="E5" s="20"/>
      <c r="F5" s="22"/>
      <c r="G5" s="14">
        <f t="shared" si="2"/>
        <v>0</v>
      </c>
    </row>
    <row r="6" ht="15.75" customHeight="1">
      <c r="A6" s="1"/>
      <c r="B6" s="1"/>
      <c r="C6" s="21">
        <v>46176.0</v>
      </c>
      <c r="D6" s="2" t="str">
        <f t="shared" si="1"/>
        <v>qua.</v>
      </c>
      <c r="E6" s="20"/>
      <c r="F6" s="22"/>
      <c r="G6" s="14">
        <f t="shared" si="2"/>
        <v>0</v>
      </c>
    </row>
    <row r="7" ht="15.75" customHeight="1">
      <c r="A7" s="1"/>
      <c r="B7" s="1"/>
      <c r="C7" s="21">
        <v>46177.0</v>
      </c>
      <c r="D7" s="2" t="str">
        <f t="shared" si="1"/>
        <v>qui.</v>
      </c>
      <c r="E7" s="20"/>
      <c r="F7" s="22"/>
      <c r="G7" s="14">
        <f t="shared" si="2"/>
        <v>0</v>
      </c>
    </row>
    <row r="8" ht="15.75" customHeight="1">
      <c r="A8" s="1"/>
      <c r="B8" s="1"/>
      <c r="C8" s="21">
        <v>46178.0</v>
      </c>
      <c r="D8" s="2" t="str">
        <f t="shared" si="1"/>
        <v>sex.</v>
      </c>
      <c r="E8" s="20"/>
      <c r="F8" s="22"/>
      <c r="G8" s="14">
        <f t="shared" si="2"/>
        <v>0</v>
      </c>
    </row>
    <row r="9" ht="15.75" customHeight="1">
      <c r="A9" s="1"/>
      <c r="B9" s="1"/>
      <c r="C9" s="21">
        <v>46179.0</v>
      </c>
      <c r="D9" s="2" t="str">
        <f t="shared" si="1"/>
        <v>sáb.</v>
      </c>
      <c r="E9" s="20"/>
      <c r="F9" s="22"/>
      <c r="G9" s="14">
        <f t="shared" si="2"/>
        <v>0</v>
      </c>
    </row>
    <row r="10" ht="15.75" customHeight="1">
      <c r="A10" s="1"/>
      <c r="B10" s="1"/>
      <c r="C10" s="21">
        <v>46180.0</v>
      </c>
      <c r="D10" s="2" t="str">
        <f t="shared" si="1"/>
        <v>dom.</v>
      </c>
      <c r="E10" s="20"/>
      <c r="F10" s="22"/>
      <c r="G10" s="14">
        <f t="shared" si="2"/>
        <v>0</v>
      </c>
    </row>
    <row r="11" ht="15.75" customHeight="1">
      <c r="A11" s="1"/>
      <c r="B11" s="1"/>
      <c r="C11" s="21">
        <v>46181.0</v>
      </c>
      <c r="D11" s="2" t="str">
        <f t="shared" si="1"/>
        <v>seg.</v>
      </c>
      <c r="E11" s="20"/>
      <c r="F11" s="22"/>
      <c r="G11" s="14">
        <f t="shared" si="2"/>
        <v>0</v>
      </c>
    </row>
    <row r="12" ht="15.75" customHeight="1">
      <c r="A12" s="1"/>
      <c r="B12" s="1"/>
      <c r="C12" s="21">
        <v>46182.0</v>
      </c>
      <c r="D12" s="2" t="str">
        <f t="shared" si="1"/>
        <v>ter.</v>
      </c>
      <c r="E12" s="20"/>
      <c r="F12" s="22"/>
      <c r="G12" s="14">
        <f t="shared" si="2"/>
        <v>0</v>
      </c>
    </row>
    <row r="13" ht="15.75" customHeight="1">
      <c r="A13" s="1"/>
      <c r="B13" s="1"/>
      <c r="C13" s="21">
        <v>46183.0</v>
      </c>
      <c r="D13" s="2" t="str">
        <f t="shared" si="1"/>
        <v>qua.</v>
      </c>
      <c r="E13" s="20"/>
      <c r="F13" s="22"/>
      <c r="G13" s="14">
        <f t="shared" si="2"/>
        <v>0</v>
      </c>
    </row>
    <row r="14" ht="15.75" customHeight="1">
      <c r="A14" s="1"/>
      <c r="B14" s="1"/>
      <c r="C14" s="21">
        <v>46184.0</v>
      </c>
      <c r="D14" s="2" t="str">
        <f t="shared" si="1"/>
        <v>qui.</v>
      </c>
      <c r="E14" s="3"/>
      <c r="F14" s="22"/>
      <c r="G14" s="14">
        <f t="shared" si="2"/>
        <v>0</v>
      </c>
    </row>
    <row r="15" ht="15.75" customHeight="1">
      <c r="A15" s="1"/>
      <c r="B15" s="1"/>
      <c r="C15" s="21">
        <v>46185.0</v>
      </c>
      <c r="D15" s="2" t="str">
        <f t="shared" si="1"/>
        <v>sex.</v>
      </c>
      <c r="E15" s="20"/>
      <c r="F15" s="22"/>
      <c r="G15" s="14">
        <f t="shared" si="2"/>
        <v>0</v>
      </c>
    </row>
    <row r="16" ht="15.75" customHeight="1">
      <c r="A16" s="1"/>
      <c r="B16" s="1"/>
      <c r="C16" s="21">
        <v>46186.0</v>
      </c>
      <c r="D16" s="2" t="str">
        <f t="shared" si="1"/>
        <v>sáb.</v>
      </c>
      <c r="E16" s="20"/>
      <c r="F16" s="22"/>
      <c r="G16" s="14">
        <f t="shared" si="2"/>
        <v>0</v>
      </c>
    </row>
    <row r="17" ht="15.75" customHeight="1">
      <c r="A17" s="1"/>
      <c r="B17" s="1"/>
      <c r="C17" s="21">
        <v>46187.0</v>
      </c>
      <c r="D17" s="2" t="str">
        <f t="shared" si="1"/>
        <v>dom.</v>
      </c>
      <c r="E17" s="20"/>
      <c r="F17" s="22"/>
      <c r="G17" s="14">
        <f t="shared" si="2"/>
        <v>0</v>
      </c>
    </row>
    <row r="18" ht="15.75" customHeight="1">
      <c r="A18" s="1"/>
      <c r="B18" s="1"/>
      <c r="C18" s="21">
        <v>46188.0</v>
      </c>
      <c r="D18" s="2" t="str">
        <f t="shared" si="1"/>
        <v>seg.</v>
      </c>
      <c r="E18" s="20"/>
      <c r="F18" s="22"/>
      <c r="G18" s="14">
        <f t="shared" si="2"/>
        <v>0</v>
      </c>
    </row>
    <row r="19" ht="15.75" customHeight="1">
      <c r="A19" s="1"/>
      <c r="B19" s="1"/>
      <c r="C19" s="21">
        <v>46189.0</v>
      </c>
      <c r="D19" s="2" t="str">
        <f t="shared" si="1"/>
        <v>ter.</v>
      </c>
      <c r="E19" s="20"/>
      <c r="F19" s="22"/>
      <c r="G19" s="14">
        <f t="shared" si="2"/>
        <v>0</v>
      </c>
    </row>
    <row r="20" ht="15.75" customHeight="1">
      <c r="A20" s="1"/>
      <c r="B20" s="1"/>
      <c r="C20" s="21">
        <v>46190.0</v>
      </c>
      <c r="D20" s="2" t="str">
        <f t="shared" si="1"/>
        <v>qua.</v>
      </c>
      <c r="E20" s="20"/>
      <c r="F20" s="22"/>
      <c r="G20" s="14">
        <f t="shared" si="2"/>
        <v>0</v>
      </c>
    </row>
    <row r="21" ht="15.75" customHeight="1">
      <c r="A21" s="1"/>
      <c r="B21" s="1"/>
      <c r="C21" s="21">
        <v>46191.0</v>
      </c>
      <c r="D21" s="2" t="str">
        <f t="shared" si="1"/>
        <v>qui.</v>
      </c>
      <c r="E21" s="20"/>
      <c r="F21" s="22"/>
      <c r="G21" s="14">
        <f t="shared" si="2"/>
        <v>0</v>
      </c>
    </row>
    <row r="22" ht="15.75" customHeight="1">
      <c r="A22" s="1"/>
      <c r="B22" s="1"/>
      <c r="C22" s="21">
        <v>46192.0</v>
      </c>
      <c r="D22" s="2" t="str">
        <f t="shared" si="1"/>
        <v>sex.</v>
      </c>
      <c r="E22" s="20"/>
      <c r="F22" s="22"/>
      <c r="G22" s="14">
        <f t="shared" si="2"/>
        <v>0</v>
      </c>
    </row>
    <row r="23" ht="15.75" customHeight="1">
      <c r="A23" s="1"/>
      <c r="B23" s="1"/>
      <c r="C23" s="21">
        <v>46193.0</v>
      </c>
      <c r="D23" s="2" t="str">
        <f t="shared" si="1"/>
        <v>sáb.</v>
      </c>
      <c r="E23" s="20"/>
      <c r="F23" s="22"/>
      <c r="G23" s="14">
        <f t="shared" si="2"/>
        <v>0</v>
      </c>
    </row>
    <row r="24" ht="15.75" customHeight="1">
      <c r="A24" s="1"/>
      <c r="B24" s="1"/>
      <c r="C24" s="21">
        <v>46194.0</v>
      </c>
      <c r="D24" s="2" t="str">
        <f t="shared" si="1"/>
        <v>dom.</v>
      </c>
      <c r="E24" s="20"/>
      <c r="F24" s="22"/>
      <c r="G24" s="14">
        <f t="shared" si="2"/>
        <v>0</v>
      </c>
    </row>
    <row r="25" ht="15.75" customHeight="1">
      <c r="A25" s="1"/>
      <c r="B25" s="1"/>
      <c r="C25" s="21">
        <v>46195.0</v>
      </c>
      <c r="D25" s="2" t="str">
        <f t="shared" si="1"/>
        <v>seg.</v>
      </c>
      <c r="E25" s="20"/>
      <c r="F25" s="22"/>
      <c r="G25" s="14">
        <f t="shared" si="2"/>
        <v>0</v>
      </c>
    </row>
    <row r="26" ht="15.75" customHeight="1">
      <c r="A26" s="1"/>
      <c r="B26" s="1"/>
      <c r="C26" s="21">
        <v>46196.0</v>
      </c>
      <c r="D26" s="2" t="str">
        <f t="shared" si="1"/>
        <v>ter.</v>
      </c>
      <c r="E26" s="20"/>
      <c r="F26" s="22"/>
      <c r="G26" s="14">
        <f t="shared" si="2"/>
        <v>0</v>
      </c>
    </row>
    <row r="27" ht="15.75" customHeight="1">
      <c r="A27" s="1"/>
      <c r="B27" s="1"/>
      <c r="C27" s="21">
        <v>46197.0</v>
      </c>
      <c r="D27" s="2" t="str">
        <f t="shared" si="1"/>
        <v>qua.</v>
      </c>
      <c r="E27" s="20"/>
      <c r="F27" s="22"/>
      <c r="G27" s="14">
        <f t="shared" si="2"/>
        <v>0</v>
      </c>
    </row>
    <row r="28" ht="15.75" customHeight="1">
      <c r="A28" s="1"/>
      <c r="B28" s="1"/>
      <c r="C28" s="21">
        <v>46198.0</v>
      </c>
      <c r="D28" s="2" t="str">
        <f t="shared" si="1"/>
        <v>qui.</v>
      </c>
      <c r="E28" s="20"/>
      <c r="F28" s="22"/>
      <c r="G28" s="14">
        <f t="shared" si="2"/>
        <v>0</v>
      </c>
    </row>
    <row r="29" ht="15.75" customHeight="1">
      <c r="A29" s="1"/>
      <c r="B29" s="1"/>
      <c r="C29" s="21">
        <v>46199.0</v>
      </c>
      <c r="D29" s="24" t="str">
        <f t="shared" si="1"/>
        <v>sex.</v>
      </c>
      <c r="E29" s="25"/>
      <c r="F29" s="26"/>
      <c r="G29" s="16">
        <f t="shared" si="2"/>
        <v>0</v>
      </c>
    </row>
    <row r="30" ht="15.75" customHeight="1">
      <c r="A30" s="1"/>
      <c r="B30" s="1"/>
      <c r="C30" s="21">
        <v>46200.0</v>
      </c>
      <c r="D30" s="28" t="str">
        <f t="shared" si="1"/>
        <v>sáb.</v>
      </c>
      <c r="E30" s="29"/>
      <c r="F30" s="30"/>
      <c r="G30" s="14">
        <f t="shared" si="2"/>
        <v>0</v>
      </c>
    </row>
    <row r="31" ht="15.75" customHeight="1">
      <c r="A31" s="1"/>
      <c r="B31" s="1"/>
      <c r="C31" s="21">
        <v>46201.0</v>
      </c>
      <c r="D31" s="2" t="str">
        <f t="shared" si="1"/>
        <v>dom.</v>
      </c>
      <c r="E31" s="20"/>
      <c r="F31" s="22"/>
      <c r="G31" s="14">
        <f t="shared" si="2"/>
        <v>0</v>
      </c>
    </row>
    <row r="32" ht="15.75" customHeight="1">
      <c r="A32" s="1"/>
      <c r="B32" s="1"/>
      <c r="C32" s="21">
        <v>46202.0</v>
      </c>
      <c r="D32" s="2" t="str">
        <f t="shared" si="1"/>
        <v>seg.</v>
      </c>
      <c r="E32" s="20"/>
      <c r="F32" s="22"/>
      <c r="G32" s="14">
        <f t="shared" si="2"/>
        <v>0</v>
      </c>
    </row>
    <row r="33" ht="15.75" customHeight="1">
      <c r="A33" s="1"/>
      <c r="B33" s="1"/>
      <c r="C33" s="21">
        <v>46203.0</v>
      </c>
      <c r="D33" s="2" t="str">
        <f t="shared" si="1"/>
        <v>ter.</v>
      </c>
      <c r="E33" s="20"/>
      <c r="F33" s="22"/>
      <c r="G33" s="14">
        <f t="shared" si="2"/>
        <v>0</v>
      </c>
    </row>
    <row r="34" ht="15.75" customHeight="1">
      <c r="A34" s="1"/>
      <c r="B34" s="1"/>
      <c r="C34" s="21"/>
      <c r="D34" s="2"/>
      <c r="E34" s="20"/>
      <c r="F34" s="22"/>
      <c r="G34" s="14">
        <f t="shared" si="2"/>
        <v>0</v>
      </c>
    </row>
    <row r="35" ht="15.75" customHeight="1">
      <c r="E35" s="18">
        <f t="shared" ref="E35:G35" si="3">SUM(E4:E33)</f>
        <v>0</v>
      </c>
      <c r="F35" s="19">
        <f t="shared" si="3"/>
        <v>0</v>
      </c>
      <c r="G35" s="14">
        <f t="shared" si="3"/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46204.0</v>
      </c>
      <c r="D4" s="2" t="str">
        <f t="shared" ref="D4:D34" si="1">TEXT(C4,"ddd")</f>
        <v>qua.</v>
      </c>
      <c r="E4" s="20"/>
      <c r="F4" s="22"/>
      <c r="G4" s="14">
        <f t="shared" ref="G4:G34" si="2">E4+F4</f>
        <v>0</v>
      </c>
    </row>
    <row r="5" ht="15.75" customHeight="1">
      <c r="A5" s="1"/>
      <c r="B5" s="1"/>
      <c r="C5" s="21">
        <v>46205.0</v>
      </c>
      <c r="D5" s="2" t="str">
        <f t="shared" si="1"/>
        <v>qui.</v>
      </c>
      <c r="E5" s="20"/>
      <c r="F5" s="22"/>
      <c r="G5" s="14">
        <f t="shared" si="2"/>
        <v>0</v>
      </c>
    </row>
    <row r="6" ht="15.75" customHeight="1">
      <c r="A6" s="1"/>
      <c r="B6" s="1"/>
      <c r="C6" s="21">
        <v>46206.0</v>
      </c>
      <c r="D6" s="2" t="str">
        <f t="shared" si="1"/>
        <v>sex.</v>
      </c>
      <c r="E6" s="20"/>
      <c r="F6" s="22"/>
      <c r="G6" s="14">
        <f t="shared" si="2"/>
        <v>0</v>
      </c>
    </row>
    <row r="7" ht="15.75" customHeight="1">
      <c r="A7" s="1"/>
      <c r="B7" s="1"/>
      <c r="C7" s="21">
        <v>46207.0</v>
      </c>
      <c r="D7" s="2" t="str">
        <f t="shared" si="1"/>
        <v>sáb.</v>
      </c>
      <c r="E7" s="20"/>
      <c r="F7" s="22"/>
      <c r="G7" s="14">
        <f t="shared" si="2"/>
        <v>0</v>
      </c>
    </row>
    <row r="8" ht="15.75" customHeight="1">
      <c r="A8" s="1"/>
      <c r="B8" s="1"/>
      <c r="C8" s="21">
        <v>46208.0</v>
      </c>
      <c r="D8" s="2" t="str">
        <f t="shared" si="1"/>
        <v>dom.</v>
      </c>
      <c r="E8" s="20"/>
      <c r="F8" s="22"/>
      <c r="G8" s="14">
        <f t="shared" si="2"/>
        <v>0</v>
      </c>
    </row>
    <row r="9" ht="15.75" customHeight="1">
      <c r="A9" s="1"/>
      <c r="B9" s="1"/>
      <c r="C9" s="21">
        <v>46209.0</v>
      </c>
      <c r="D9" s="2" t="str">
        <f t="shared" si="1"/>
        <v>seg.</v>
      </c>
      <c r="E9" s="20"/>
      <c r="F9" s="22"/>
      <c r="G9" s="14">
        <f t="shared" si="2"/>
        <v>0</v>
      </c>
    </row>
    <row r="10" ht="15.75" customHeight="1">
      <c r="A10" s="1"/>
      <c r="B10" s="1"/>
      <c r="C10" s="21">
        <v>46210.0</v>
      </c>
      <c r="D10" s="2" t="str">
        <f t="shared" si="1"/>
        <v>ter.</v>
      </c>
      <c r="E10" s="20"/>
      <c r="F10" s="22"/>
      <c r="G10" s="14">
        <f t="shared" si="2"/>
        <v>0</v>
      </c>
    </row>
    <row r="11" ht="15.75" customHeight="1">
      <c r="A11" s="1"/>
      <c r="B11" s="1"/>
      <c r="C11" s="21">
        <v>46211.0</v>
      </c>
      <c r="D11" s="2" t="str">
        <f t="shared" si="1"/>
        <v>qua.</v>
      </c>
      <c r="E11" s="20"/>
      <c r="F11" s="22"/>
      <c r="G11" s="14">
        <f t="shared" si="2"/>
        <v>0</v>
      </c>
    </row>
    <row r="12" ht="15.75" customHeight="1">
      <c r="A12" s="1"/>
      <c r="B12" s="1"/>
      <c r="C12" s="21">
        <v>46212.0</v>
      </c>
      <c r="D12" s="2" t="str">
        <f t="shared" si="1"/>
        <v>qui.</v>
      </c>
      <c r="E12" s="20"/>
      <c r="F12" s="22"/>
      <c r="G12" s="14">
        <f t="shared" si="2"/>
        <v>0</v>
      </c>
    </row>
    <row r="13" ht="15.75" customHeight="1">
      <c r="A13" s="1"/>
      <c r="B13" s="1"/>
      <c r="C13" s="21">
        <v>46213.0</v>
      </c>
      <c r="D13" s="2" t="str">
        <f t="shared" si="1"/>
        <v>sex.</v>
      </c>
      <c r="E13" s="20"/>
      <c r="F13" s="22"/>
      <c r="G13" s="14">
        <f t="shared" si="2"/>
        <v>0</v>
      </c>
    </row>
    <row r="14" ht="15.75" customHeight="1">
      <c r="A14" s="1"/>
      <c r="B14" s="1"/>
      <c r="C14" s="21">
        <v>46214.0</v>
      </c>
      <c r="D14" s="2" t="str">
        <f t="shared" si="1"/>
        <v>sáb.</v>
      </c>
      <c r="E14" s="3"/>
      <c r="F14" s="22"/>
      <c r="G14" s="14">
        <f t="shared" si="2"/>
        <v>0</v>
      </c>
    </row>
    <row r="15" ht="15.75" customHeight="1">
      <c r="A15" s="1"/>
      <c r="B15" s="1"/>
      <c r="C15" s="21">
        <v>46215.0</v>
      </c>
      <c r="D15" s="2" t="str">
        <f t="shared" si="1"/>
        <v>dom.</v>
      </c>
      <c r="E15" s="20"/>
      <c r="F15" s="22"/>
      <c r="G15" s="14">
        <f t="shared" si="2"/>
        <v>0</v>
      </c>
    </row>
    <row r="16" ht="15.75" customHeight="1">
      <c r="A16" s="1"/>
      <c r="B16" s="1"/>
      <c r="C16" s="21">
        <v>46216.0</v>
      </c>
      <c r="D16" s="2" t="str">
        <f t="shared" si="1"/>
        <v>seg.</v>
      </c>
      <c r="E16" s="20"/>
      <c r="F16" s="22"/>
      <c r="G16" s="14">
        <f t="shared" si="2"/>
        <v>0</v>
      </c>
    </row>
    <row r="17" ht="15.75" customHeight="1">
      <c r="A17" s="1"/>
      <c r="B17" s="1"/>
      <c r="C17" s="21">
        <v>46217.0</v>
      </c>
      <c r="D17" s="2" t="str">
        <f t="shared" si="1"/>
        <v>ter.</v>
      </c>
      <c r="E17" s="20"/>
      <c r="F17" s="22"/>
      <c r="G17" s="14">
        <f t="shared" si="2"/>
        <v>0</v>
      </c>
    </row>
    <row r="18" ht="15.75" customHeight="1">
      <c r="A18" s="1"/>
      <c r="B18" s="1"/>
      <c r="C18" s="21">
        <v>46218.0</v>
      </c>
      <c r="D18" s="2" t="str">
        <f t="shared" si="1"/>
        <v>qua.</v>
      </c>
      <c r="E18" s="20"/>
      <c r="F18" s="22"/>
      <c r="G18" s="14">
        <f t="shared" si="2"/>
        <v>0</v>
      </c>
    </row>
    <row r="19" ht="15.75" customHeight="1">
      <c r="A19" s="1"/>
      <c r="B19" s="1"/>
      <c r="C19" s="21">
        <v>46219.0</v>
      </c>
      <c r="D19" s="2" t="str">
        <f t="shared" si="1"/>
        <v>qui.</v>
      </c>
      <c r="E19" s="20"/>
      <c r="F19" s="22"/>
      <c r="G19" s="14">
        <f t="shared" si="2"/>
        <v>0</v>
      </c>
    </row>
    <row r="20" ht="15.75" customHeight="1">
      <c r="A20" s="1"/>
      <c r="B20" s="1"/>
      <c r="C20" s="21">
        <v>46220.0</v>
      </c>
      <c r="D20" s="2" t="str">
        <f t="shared" si="1"/>
        <v>sex.</v>
      </c>
      <c r="E20" s="20"/>
      <c r="F20" s="22"/>
      <c r="G20" s="14">
        <f t="shared" si="2"/>
        <v>0</v>
      </c>
    </row>
    <row r="21" ht="15.75" customHeight="1">
      <c r="A21" s="1"/>
      <c r="B21" s="1"/>
      <c r="C21" s="21">
        <v>46221.0</v>
      </c>
      <c r="D21" s="2" t="str">
        <f t="shared" si="1"/>
        <v>sáb.</v>
      </c>
      <c r="E21" s="20"/>
      <c r="F21" s="22"/>
      <c r="G21" s="14">
        <f t="shared" si="2"/>
        <v>0</v>
      </c>
    </row>
    <row r="22" ht="15.75" customHeight="1">
      <c r="A22" s="1"/>
      <c r="B22" s="1"/>
      <c r="C22" s="21">
        <v>46222.0</v>
      </c>
      <c r="D22" s="2" t="str">
        <f t="shared" si="1"/>
        <v>dom.</v>
      </c>
      <c r="E22" s="20"/>
      <c r="F22" s="22"/>
      <c r="G22" s="14">
        <f t="shared" si="2"/>
        <v>0</v>
      </c>
    </row>
    <row r="23" ht="15.75" customHeight="1">
      <c r="A23" s="1"/>
      <c r="B23" s="1"/>
      <c r="C23" s="21">
        <v>46223.0</v>
      </c>
      <c r="D23" s="2" t="str">
        <f t="shared" si="1"/>
        <v>seg.</v>
      </c>
      <c r="E23" s="20"/>
      <c r="F23" s="22"/>
      <c r="G23" s="14">
        <f t="shared" si="2"/>
        <v>0</v>
      </c>
    </row>
    <row r="24" ht="15.75" customHeight="1">
      <c r="A24" s="1"/>
      <c r="B24" s="1"/>
      <c r="C24" s="21">
        <v>46224.0</v>
      </c>
      <c r="D24" s="2" t="str">
        <f t="shared" si="1"/>
        <v>ter.</v>
      </c>
      <c r="E24" s="20"/>
      <c r="F24" s="22"/>
      <c r="G24" s="14">
        <f t="shared" si="2"/>
        <v>0</v>
      </c>
    </row>
    <row r="25" ht="15.75" customHeight="1">
      <c r="A25" s="1"/>
      <c r="B25" s="1"/>
      <c r="C25" s="21">
        <v>46225.0</v>
      </c>
      <c r="D25" s="2" t="str">
        <f t="shared" si="1"/>
        <v>qua.</v>
      </c>
      <c r="E25" s="20"/>
      <c r="F25" s="22"/>
      <c r="G25" s="14">
        <f t="shared" si="2"/>
        <v>0</v>
      </c>
    </row>
    <row r="26" ht="15.75" customHeight="1">
      <c r="A26" s="1"/>
      <c r="B26" s="1"/>
      <c r="C26" s="21">
        <v>46226.0</v>
      </c>
      <c r="D26" s="2" t="str">
        <f t="shared" si="1"/>
        <v>qui.</v>
      </c>
      <c r="E26" s="20"/>
      <c r="F26" s="22"/>
      <c r="G26" s="14">
        <f t="shared" si="2"/>
        <v>0</v>
      </c>
    </row>
    <row r="27" ht="15.75" customHeight="1">
      <c r="A27" s="1"/>
      <c r="B27" s="1"/>
      <c r="C27" s="21">
        <v>46227.0</v>
      </c>
      <c r="D27" s="2" t="str">
        <f t="shared" si="1"/>
        <v>sex.</v>
      </c>
      <c r="E27" s="20"/>
      <c r="F27" s="22"/>
      <c r="G27" s="14">
        <f t="shared" si="2"/>
        <v>0</v>
      </c>
    </row>
    <row r="28" ht="15.75" customHeight="1">
      <c r="A28" s="1"/>
      <c r="B28" s="1"/>
      <c r="C28" s="21">
        <v>46228.0</v>
      </c>
      <c r="D28" s="2" t="str">
        <f t="shared" si="1"/>
        <v>sáb.</v>
      </c>
      <c r="E28" s="20"/>
      <c r="F28" s="22"/>
      <c r="G28" s="14">
        <f t="shared" si="2"/>
        <v>0</v>
      </c>
    </row>
    <row r="29" ht="15.75" customHeight="1">
      <c r="A29" s="1"/>
      <c r="B29" s="1"/>
      <c r="C29" s="21">
        <v>46229.0</v>
      </c>
      <c r="D29" s="24" t="str">
        <f t="shared" si="1"/>
        <v>dom.</v>
      </c>
      <c r="E29" s="25"/>
      <c r="F29" s="26"/>
      <c r="G29" s="16">
        <f t="shared" si="2"/>
        <v>0</v>
      </c>
    </row>
    <row r="30" ht="15.75" customHeight="1">
      <c r="A30" s="1"/>
      <c r="B30" s="1"/>
      <c r="C30" s="21">
        <v>46230.0</v>
      </c>
      <c r="D30" s="28" t="str">
        <f t="shared" si="1"/>
        <v>seg.</v>
      </c>
      <c r="E30" s="29"/>
      <c r="F30" s="30"/>
      <c r="G30" s="14">
        <f t="shared" si="2"/>
        <v>0</v>
      </c>
    </row>
    <row r="31" ht="15.75" customHeight="1">
      <c r="A31" s="1"/>
      <c r="B31" s="1"/>
      <c r="C31" s="21">
        <v>46231.0</v>
      </c>
      <c r="D31" s="2" t="str">
        <f t="shared" si="1"/>
        <v>ter.</v>
      </c>
      <c r="E31" s="20"/>
      <c r="F31" s="22"/>
      <c r="G31" s="14">
        <f t="shared" si="2"/>
        <v>0</v>
      </c>
    </row>
    <row r="32" ht="15.75" customHeight="1">
      <c r="A32" s="1"/>
      <c r="B32" s="1"/>
      <c r="C32" s="21">
        <v>46232.0</v>
      </c>
      <c r="D32" s="2" t="str">
        <f t="shared" si="1"/>
        <v>qua.</v>
      </c>
      <c r="E32" s="20"/>
      <c r="F32" s="22"/>
      <c r="G32" s="14">
        <f t="shared" si="2"/>
        <v>0</v>
      </c>
    </row>
    <row r="33" ht="15.75" customHeight="1">
      <c r="A33" s="1"/>
      <c r="B33" s="1"/>
      <c r="C33" s="21">
        <v>46233.0</v>
      </c>
      <c r="D33" s="2" t="str">
        <f t="shared" si="1"/>
        <v>qui.</v>
      </c>
      <c r="E33" s="20"/>
      <c r="F33" s="22"/>
      <c r="G33" s="14">
        <f t="shared" si="2"/>
        <v>0</v>
      </c>
    </row>
    <row r="34" ht="15.75" customHeight="1">
      <c r="A34" s="1"/>
      <c r="B34" s="1"/>
      <c r="C34" s="21">
        <v>46234.0</v>
      </c>
      <c r="D34" s="2" t="str">
        <f t="shared" si="1"/>
        <v>sex.</v>
      </c>
      <c r="E34" s="20"/>
      <c r="F34" s="22"/>
      <c r="G34" s="14">
        <f t="shared" si="2"/>
        <v>0</v>
      </c>
    </row>
    <row r="35" ht="15.75" customHeight="1">
      <c r="E35" s="18">
        <f t="shared" ref="E35:G35" si="3">SUM(E4:E33)</f>
        <v>0</v>
      </c>
      <c r="F35" s="19">
        <f t="shared" si="3"/>
        <v>0</v>
      </c>
      <c r="G35" s="14">
        <f t="shared" si="3"/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46235.0</v>
      </c>
      <c r="D4" s="2" t="str">
        <f t="shared" ref="D4:D34" si="1">TEXT(C4,"ddd")</f>
        <v>sáb.</v>
      </c>
      <c r="E4" s="20"/>
      <c r="F4" s="22"/>
      <c r="G4" s="14">
        <f t="shared" ref="G4:G34" si="2">E4+F4</f>
        <v>0</v>
      </c>
    </row>
    <row r="5" ht="15.75" customHeight="1">
      <c r="A5" s="1"/>
      <c r="B5" s="1"/>
      <c r="C5" s="21">
        <v>46236.0</v>
      </c>
      <c r="D5" s="2" t="str">
        <f t="shared" si="1"/>
        <v>dom.</v>
      </c>
      <c r="E5" s="20"/>
      <c r="F5" s="22"/>
      <c r="G5" s="14">
        <f t="shared" si="2"/>
        <v>0</v>
      </c>
    </row>
    <row r="6" ht="15.75" customHeight="1">
      <c r="A6" s="1"/>
      <c r="B6" s="1"/>
      <c r="C6" s="21">
        <v>46237.0</v>
      </c>
      <c r="D6" s="2" t="str">
        <f t="shared" si="1"/>
        <v>seg.</v>
      </c>
      <c r="E6" s="20"/>
      <c r="F6" s="22"/>
      <c r="G6" s="14">
        <f t="shared" si="2"/>
        <v>0</v>
      </c>
    </row>
    <row r="7" ht="15.75" customHeight="1">
      <c r="A7" s="1"/>
      <c r="B7" s="1"/>
      <c r="C7" s="21">
        <v>46238.0</v>
      </c>
      <c r="D7" s="2" t="str">
        <f t="shared" si="1"/>
        <v>ter.</v>
      </c>
      <c r="E7" s="20"/>
      <c r="F7" s="22"/>
      <c r="G7" s="14">
        <f t="shared" si="2"/>
        <v>0</v>
      </c>
    </row>
    <row r="8" ht="15.75" customHeight="1">
      <c r="A8" s="1"/>
      <c r="B8" s="1"/>
      <c r="C8" s="21">
        <v>46239.0</v>
      </c>
      <c r="D8" s="2" t="str">
        <f t="shared" si="1"/>
        <v>qua.</v>
      </c>
      <c r="E8" s="20"/>
      <c r="F8" s="22"/>
      <c r="G8" s="14">
        <f t="shared" si="2"/>
        <v>0</v>
      </c>
    </row>
    <row r="9" ht="15.75" customHeight="1">
      <c r="A9" s="1"/>
      <c r="B9" s="1"/>
      <c r="C9" s="21">
        <v>46240.0</v>
      </c>
      <c r="D9" s="2" t="str">
        <f t="shared" si="1"/>
        <v>qui.</v>
      </c>
      <c r="E9" s="20"/>
      <c r="F9" s="22"/>
      <c r="G9" s="14">
        <f t="shared" si="2"/>
        <v>0</v>
      </c>
    </row>
    <row r="10" ht="15.75" customHeight="1">
      <c r="A10" s="1"/>
      <c r="B10" s="1"/>
      <c r="C10" s="21">
        <v>46241.0</v>
      </c>
      <c r="D10" s="2" t="str">
        <f t="shared" si="1"/>
        <v>sex.</v>
      </c>
      <c r="E10" s="20"/>
      <c r="F10" s="22"/>
      <c r="G10" s="14">
        <f t="shared" si="2"/>
        <v>0</v>
      </c>
    </row>
    <row r="11" ht="15.75" customHeight="1">
      <c r="A11" s="1"/>
      <c r="B11" s="1"/>
      <c r="C11" s="21">
        <v>46242.0</v>
      </c>
      <c r="D11" s="2" t="str">
        <f t="shared" si="1"/>
        <v>sáb.</v>
      </c>
      <c r="E11" s="20"/>
      <c r="F11" s="22"/>
      <c r="G11" s="14">
        <f t="shared" si="2"/>
        <v>0</v>
      </c>
    </row>
    <row r="12" ht="15.75" customHeight="1">
      <c r="A12" s="1"/>
      <c r="B12" s="1"/>
      <c r="C12" s="21">
        <v>46243.0</v>
      </c>
      <c r="D12" s="2" t="str">
        <f t="shared" si="1"/>
        <v>dom.</v>
      </c>
      <c r="E12" s="20"/>
      <c r="F12" s="22"/>
      <c r="G12" s="14">
        <f t="shared" si="2"/>
        <v>0</v>
      </c>
    </row>
    <row r="13" ht="15.75" customHeight="1">
      <c r="A13" s="1"/>
      <c r="B13" s="1"/>
      <c r="C13" s="21">
        <v>46244.0</v>
      </c>
      <c r="D13" s="2" t="str">
        <f t="shared" si="1"/>
        <v>seg.</v>
      </c>
      <c r="E13" s="20"/>
      <c r="F13" s="22"/>
      <c r="G13" s="14">
        <f t="shared" si="2"/>
        <v>0</v>
      </c>
    </row>
    <row r="14" ht="15.75" customHeight="1">
      <c r="A14" s="1"/>
      <c r="B14" s="1"/>
      <c r="C14" s="21">
        <v>46245.0</v>
      </c>
      <c r="D14" s="2" t="str">
        <f t="shared" si="1"/>
        <v>ter.</v>
      </c>
      <c r="E14" s="3"/>
      <c r="F14" s="22"/>
      <c r="G14" s="14">
        <f t="shared" si="2"/>
        <v>0</v>
      </c>
    </row>
    <row r="15" ht="15.75" customHeight="1">
      <c r="A15" s="1"/>
      <c r="B15" s="1"/>
      <c r="C15" s="21">
        <v>46246.0</v>
      </c>
      <c r="D15" s="2" t="str">
        <f t="shared" si="1"/>
        <v>qua.</v>
      </c>
      <c r="E15" s="20"/>
      <c r="F15" s="22"/>
      <c r="G15" s="14">
        <f t="shared" si="2"/>
        <v>0</v>
      </c>
    </row>
    <row r="16" ht="15.75" customHeight="1">
      <c r="A16" s="1"/>
      <c r="B16" s="1"/>
      <c r="C16" s="21">
        <v>46247.0</v>
      </c>
      <c r="D16" s="2" t="str">
        <f t="shared" si="1"/>
        <v>qui.</v>
      </c>
      <c r="E16" s="20"/>
      <c r="F16" s="22"/>
      <c r="G16" s="14">
        <f t="shared" si="2"/>
        <v>0</v>
      </c>
    </row>
    <row r="17" ht="15.75" customHeight="1">
      <c r="A17" s="1"/>
      <c r="B17" s="1"/>
      <c r="C17" s="21">
        <v>46248.0</v>
      </c>
      <c r="D17" s="2" t="str">
        <f t="shared" si="1"/>
        <v>sex.</v>
      </c>
      <c r="E17" s="20"/>
      <c r="F17" s="22"/>
      <c r="G17" s="14">
        <f t="shared" si="2"/>
        <v>0</v>
      </c>
    </row>
    <row r="18" ht="15.75" customHeight="1">
      <c r="A18" s="1"/>
      <c r="B18" s="1"/>
      <c r="C18" s="21">
        <v>46249.0</v>
      </c>
      <c r="D18" s="2" t="str">
        <f t="shared" si="1"/>
        <v>sáb.</v>
      </c>
      <c r="E18" s="20"/>
      <c r="F18" s="22"/>
      <c r="G18" s="14">
        <f t="shared" si="2"/>
        <v>0</v>
      </c>
    </row>
    <row r="19" ht="15.75" customHeight="1">
      <c r="A19" s="1"/>
      <c r="B19" s="1"/>
      <c r="C19" s="21">
        <v>46250.0</v>
      </c>
      <c r="D19" s="2" t="str">
        <f t="shared" si="1"/>
        <v>dom.</v>
      </c>
      <c r="E19" s="20"/>
      <c r="F19" s="22"/>
      <c r="G19" s="14">
        <f t="shared" si="2"/>
        <v>0</v>
      </c>
    </row>
    <row r="20" ht="15.75" customHeight="1">
      <c r="A20" s="1"/>
      <c r="B20" s="1"/>
      <c r="C20" s="21">
        <v>46251.0</v>
      </c>
      <c r="D20" s="2" t="str">
        <f t="shared" si="1"/>
        <v>seg.</v>
      </c>
      <c r="E20" s="20"/>
      <c r="F20" s="22"/>
      <c r="G20" s="14">
        <f t="shared" si="2"/>
        <v>0</v>
      </c>
    </row>
    <row r="21" ht="15.75" customHeight="1">
      <c r="A21" s="1"/>
      <c r="B21" s="1"/>
      <c r="C21" s="21">
        <v>46252.0</v>
      </c>
      <c r="D21" s="2" t="str">
        <f t="shared" si="1"/>
        <v>ter.</v>
      </c>
      <c r="E21" s="20"/>
      <c r="F21" s="22"/>
      <c r="G21" s="14">
        <f t="shared" si="2"/>
        <v>0</v>
      </c>
    </row>
    <row r="22" ht="15.75" customHeight="1">
      <c r="A22" s="1"/>
      <c r="B22" s="1"/>
      <c r="C22" s="21">
        <v>46253.0</v>
      </c>
      <c r="D22" s="2" t="str">
        <f t="shared" si="1"/>
        <v>qua.</v>
      </c>
      <c r="E22" s="20"/>
      <c r="F22" s="22"/>
      <c r="G22" s="14">
        <f t="shared" si="2"/>
        <v>0</v>
      </c>
    </row>
    <row r="23" ht="15.75" customHeight="1">
      <c r="A23" s="1"/>
      <c r="B23" s="1"/>
      <c r="C23" s="21">
        <v>46254.0</v>
      </c>
      <c r="D23" s="2" t="str">
        <f t="shared" si="1"/>
        <v>qui.</v>
      </c>
      <c r="E23" s="20"/>
      <c r="F23" s="22"/>
      <c r="G23" s="14">
        <f t="shared" si="2"/>
        <v>0</v>
      </c>
    </row>
    <row r="24" ht="15.75" customHeight="1">
      <c r="A24" s="1"/>
      <c r="B24" s="1"/>
      <c r="C24" s="21">
        <v>46255.0</v>
      </c>
      <c r="D24" s="2" t="str">
        <f t="shared" si="1"/>
        <v>sex.</v>
      </c>
      <c r="E24" s="20"/>
      <c r="F24" s="22"/>
      <c r="G24" s="14">
        <f t="shared" si="2"/>
        <v>0</v>
      </c>
    </row>
    <row r="25" ht="15.75" customHeight="1">
      <c r="A25" s="1"/>
      <c r="B25" s="1"/>
      <c r="C25" s="21">
        <v>46256.0</v>
      </c>
      <c r="D25" s="2" t="str">
        <f t="shared" si="1"/>
        <v>sáb.</v>
      </c>
      <c r="E25" s="20"/>
      <c r="F25" s="22"/>
      <c r="G25" s="14">
        <f t="shared" si="2"/>
        <v>0</v>
      </c>
    </row>
    <row r="26" ht="15.75" customHeight="1">
      <c r="A26" s="1"/>
      <c r="B26" s="1"/>
      <c r="C26" s="21">
        <v>46257.0</v>
      </c>
      <c r="D26" s="2" t="str">
        <f t="shared" si="1"/>
        <v>dom.</v>
      </c>
      <c r="E26" s="20"/>
      <c r="F26" s="22"/>
      <c r="G26" s="14">
        <f t="shared" si="2"/>
        <v>0</v>
      </c>
    </row>
    <row r="27" ht="15.75" customHeight="1">
      <c r="A27" s="1"/>
      <c r="B27" s="1"/>
      <c r="C27" s="21">
        <v>46258.0</v>
      </c>
      <c r="D27" s="2" t="str">
        <f t="shared" si="1"/>
        <v>seg.</v>
      </c>
      <c r="E27" s="20"/>
      <c r="F27" s="22"/>
      <c r="G27" s="14">
        <f t="shared" si="2"/>
        <v>0</v>
      </c>
    </row>
    <row r="28" ht="15.75" customHeight="1">
      <c r="A28" s="1"/>
      <c r="B28" s="1"/>
      <c r="C28" s="21">
        <v>46259.0</v>
      </c>
      <c r="D28" s="2" t="str">
        <f t="shared" si="1"/>
        <v>ter.</v>
      </c>
      <c r="E28" s="20"/>
      <c r="F28" s="22"/>
      <c r="G28" s="14">
        <f t="shared" si="2"/>
        <v>0</v>
      </c>
    </row>
    <row r="29" ht="15.75" customHeight="1">
      <c r="A29" s="1"/>
      <c r="B29" s="1"/>
      <c r="C29" s="21">
        <v>46260.0</v>
      </c>
      <c r="D29" s="24" t="str">
        <f t="shared" si="1"/>
        <v>qua.</v>
      </c>
      <c r="E29" s="25"/>
      <c r="F29" s="26"/>
      <c r="G29" s="16">
        <f t="shared" si="2"/>
        <v>0</v>
      </c>
    </row>
    <row r="30" ht="15.75" customHeight="1">
      <c r="A30" s="1"/>
      <c r="B30" s="1"/>
      <c r="C30" s="21">
        <v>46261.0</v>
      </c>
      <c r="D30" s="28" t="str">
        <f t="shared" si="1"/>
        <v>qui.</v>
      </c>
      <c r="E30" s="29"/>
      <c r="F30" s="30"/>
      <c r="G30" s="14">
        <f t="shared" si="2"/>
        <v>0</v>
      </c>
    </row>
    <row r="31" ht="15.75" customHeight="1">
      <c r="A31" s="1"/>
      <c r="B31" s="1"/>
      <c r="C31" s="21">
        <v>46262.0</v>
      </c>
      <c r="D31" s="2" t="str">
        <f t="shared" si="1"/>
        <v>sex.</v>
      </c>
      <c r="E31" s="20"/>
      <c r="F31" s="22"/>
      <c r="G31" s="14">
        <f t="shared" si="2"/>
        <v>0</v>
      </c>
    </row>
    <row r="32" ht="15.75" customHeight="1">
      <c r="A32" s="1"/>
      <c r="B32" s="1"/>
      <c r="C32" s="21">
        <v>46263.0</v>
      </c>
      <c r="D32" s="2" t="str">
        <f t="shared" si="1"/>
        <v>sáb.</v>
      </c>
      <c r="E32" s="20"/>
      <c r="F32" s="22"/>
      <c r="G32" s="14">
        <f t="shared" si="2"/>
        <v>0</v>
      </c>
    </row>
    <row r="33" ht="15.75" customHeight="1">
      <c r="A33" s="1"/>
      <c r="B33" s="1"/>
      <c r="C33" s="21">
        <v>46264.0</v>
      </c>
      <c r="D33" s="2" t="str">
        <f t="shared" si="1"/>
        <v>dom.</v>
      </c>
      <c r="E33" s="20"/>
      <c r="F33" s="22"/>
      <c r="G33" s="14">
        <f t="shared" si="2"/>
        <v>0</v>
      </c>
    </row>
    <row r="34" ht="15.75" customHeight="1">
      <c r="A34" s="1"/>
      <c r="B34" s="1"/>
      <c r="C34" s="21">
        <v>46265.0</v>
      </c>
      <c r="D34" s="2" t="str">
        <f t="shared" si="1"/>
        <v>seg.</v>
      </c>
      <c r="E34" s="20"/>
      <c r="F34" s="22"/>
      <c r="G34" s="14">
        <f t="shared" si="2"/>
        <v>0</v>
      </c>
    </row>
    <row r="35" ht="15.75" customHeight="1">
      <c r="E35" s="18">
        <f t="shared" ref="E35:G35" si="3">SUM(E4:E33)</f>
        <v>0</v>
      </c>
      <c r="F35" s="19">
        <f t="shared" si="3"/>
        <v>0</v>
      </c>
      <c r="G35" s="14">
        <f t="shared" si="3"/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46266.0</v>
      </c>
      <c r="D4" s="2" t="str">
        <f t="shared" ref="D4:D33" si="1">TEXT(C4,"ddd")</f>
        <v>ter.</v>
      </c>
      <c r="E4" s="20">
        <v>7000.0</v>
      </c>
      <c r="F4" s="22">
        <v>6100.0</v>
      </c>
      <c r="G4" s="14">
        <f t="shared" ref="G4:G33" si="2">E4+F4</f>
        <v>13100</v>
      </c>
    </row>
    <row r="5" ht="15.75" customHeight="1">
      <c r="A5" s="1"/>
      <c r="B5" s="1"/>
      <c r="C5" s="21">
        <v>46267.0</v>
      </c>
      <c r="D5" s="2" t="str">
        <f t="shared" si="1"/>
        <v>qua.</v>
      </c>
      <c r="E5" s="20">
        <v>7000.0</v>
      </c>
      <c r="F5" s="22">
        <v>8000.0</v>
      </c>
      <c r="G5" s="14">
        <f t="shared" si="2"/>
        <v>15000</v>
      </c>
    </row>
    <row r="6" ht="15.75" customHeight="1">
      <c r="A6" s="1"/>
      <c r="B6" s="1"/>
      <c r="C6" s="21">
        <v>46268.0</v>
      </c>
      <c r="D6" s="2" t="str">
        <f t="shared" si="1"/>
        <v>qui.</v>
      </c>
      <c r="E6" s="20">
        <v>14000.0</v>
      </c>
      <c r="F6" s="22">
        <v>12000.0</v>
      </c>
      <c r="G6" s="14">
        <f t="shared" si="2"/>
        <v>26000</v>
      </c>
    </row>
    <row r="7" ht="15.75" customHeight="1">
      <c r="A7" s="1"/>
      <c r="B7" s="1"/>
      <c r="C7" s="21">
        <v>46269.0</v>
      </c>
      <c r="D7" s="2" t="str">
        <f t="shared" si="1"/>
        <v>sex.</v>
      </c>
      <c r="E7" s="20">
        <v>20000.0</v>
      </c>
      <c r="F7" s="22">
        <v>13000.0</v>
      </c>
      <c r="G7" s="14">
        <f t="shared" si="2"/>
        <v>33000</v>
      </c>
    </row>
    <row r="8" ht="15.75" customHeight="1">
      <c r="A8" s="1"/>
      <c r="B8" s="1"/>
      <c r="C8" s="21">
        <v>46270.0</v>
      </c>
      <c r="D8" s="2" t="str">
        <f t="shared" si="1"/>
        <v>sáb.</v>
      </c>
      <c r="E8" s="20">
        <v>20000.0</v>
      </c>
      <c r="F8" s="22">
        <v>21000.0</v>
      </c>
      <c r="G8" s="14">
        <f t="shared" si="2"/>
        <v>41000</v>
      </c>
    </row>
    <row r="9" ht="15.75" customHeight="1">
      <c r="A9" s="1"/>
      <c r="B9" s="1"/>
      <c r="C9" s="21">
        <v>46271.0</v>
      </c>
      <c r="D9" s="2" t="str">
        <f t="shared" si="1"/>
        <v>dom.</v>
      </c>
      <c r="E9" s="20">
        <v>4000.0</v>
      </c>
      <c r="F9" s="22">
        <v>3100.0</v>
      </c>
      <c r="G9" s="14">
        <f t="shared" si="2"/>
        <v>7100</v>
      </c>
    </row>
    <row r="10" ht="15.75" customHeight="1">
      <c r="A10" s="1"/>
      <c r="B10" s="1"/>
      <c r="C10" s="21">
        <v>46272.0</v>
      </c>
      <c r="D10" s="2" t="str">
        <f t="shared" si="1"/>
        <v>seg.</v>
      </c>
      <c r="E10" s="20">
        <v>4000.0</v>
      </c>
      <c r="F10" s="22">
        <v>3500.0</v>
      </c>
      <c r="G10" s="14">
        <f t="shared" si="2"/>
        <v>7500</v>
      </c>
    </row>
    <row r="11" ht="15.75" customHeight="1">
      <c r="A11" s="1"/>
      <c r="B11" s="1"/>
      <c r="C11" s="21">
        <v>46273.0</v>
      </c>
      <c r="D11" s="2" t="str">
        <f t="shared" si="1"/>
        <v>ter.</v>
      </c>
      <c r="E11" s="20">
        <v>7000.0</v>
      </c>
      <c r="F11" s="22">
        <v>3500.0</v>
      </c>
      <c r="G11" s="14">
        <f t="shared" si="2"/>
        <v>10500</v>
      </c>
    </row>
    <row r="12" ht="15.75" customHeight="1">
      <c r="A12" s="1"/>
      <c r="B12" s="1"/>
      <c r="C12" s="21">
        <v>46274.0</v>
      </c>
      <c r="D12" s="2" t="str">
        <f t="shared" si="1"/>
        <v>qua.</v>
      </c>
      <c r="E12" s="20">
        <v>7000.0</v>
      </c>
      <c r="F12" s="22">
        <v>4000.0</v>
      </c>
      <c r="G12" s="14">
        <f t="shared" si="2"/>
        <v>11000</v>
      </c>
    </row>
    <row r="13" ht="15.75" customHeight="1">
      <c r="A13" s="1"/>
      <c r="B13" s="1"/>
      <c r="C13" s="21">
        <v>46275.0</v>
      </c>
      <c r="D13" s="2" t="str">
        <f t="shared" si="1"/>
        <v>qui.</v>
      </c>
      <c r="E13" s="20">
        <v>14000.0</v>
      </c>
      <c r="F13" s="22">
        <v>10500.0</v>
      </c>
      <c r="G13" s="14">
        <f t="shared" si="2"/>
        <v>24500</v>
      </c>
    </row>
    <row r="14" ht="15.75" customHeight="1">
      <c r="A14" s="1"/>
      <c r="B14" s="1"/>
      <c r="C14" s="21">
        <v>46276.0</v>
      </c>
      <c r="D14" s="2" t="str">
        <f t="shared" si="1"/>
        <v>sex.</v>
      </c>
      <c r="E14" s="3">
        <v>20000.0</v>
      </c>
      <c r="F14" s="22">
        <v>13000.0</v>
      </c>
      <c r="G14" s="14">
        <f t="shared" si="2"/>
        <v>33000</v>
      </c>
    </row>
    <row r="15" ht="15.75" customHeight="1">
      <c r="A15" s="1"/>
      <c r="B15" s="1"/>
      <c r="C15" s="21">
        <v>46277.0</v>
      </c>
      <c r="D15" s="2" t="str">
        <f t="shared" si="1"/>
        <v>sáb.</v>
      </c>
      <c r="E15" s="20">
        <v>20000.0</v>
      </c>
      <c r="F15" s="22">
        <v>21000.0</v>
      </c>
      <c r="G15" s="14">
        <f t="shared" si="2"/>
        <v>41000</v>
      </c>
    </row>
    <row r="16" ht="15.75" customHeight="1">
      <c r="A16" s="1"/>
      <c r="B16" s="1"/>
      <c r="C16" s="21">
        <v>46278.0</v>
      </c>
      <c r="D16" s="2" t="str">
        <f t="shared" si="1"/>
        <v>dom.</v>
      </c>
      <c r="E16" s="20">
        <v>4000.0</v>
      </c>
      <c r="F16" s="22">
        <v>3100.0</v>
      </c>
      <c r="G16" s="14">
        <f t="shared" si="2"/>
        <v>7100</v>
      </c>
    </row>
    <row r="17" ht="15.75" customHeight="1">
      <c r="A17" s="1"/>
      <c r="B17" s="1"/>
      <c r="C17" s="21">
        <v>46279.0</v>
      </c>
      <c r="D17" s="2" t="str">
        <f t="shared" si="1"/>
        <v>seg.</v>
      </c>
      <c r="E17" s="20">
        <v>4000.0</v>
      </c>
      <c r="F17" s="22">
        <v>3500.0</v>
      </c>
      <c r="G17" s="14">
        <f t="shared" si="2"/>
        <v>7500</v>
      </c>
    </row>
    <row r="18" ht="15.75" customHeight="1">
      <c r="A18" s="1"/>
      <c r="B18" s="1"/>
      <c r="C18" s="21">
        <v>46280.0</v>
      </c>
      <c r="D18" s="2" t="str">
        <f t="shared" si="1"/>
        <v>ter.</v>
      </c>
      <c r="E18" s="20">
        <v>7000.0</v>
      </c>
      <c r="F18" s="22">
        <v>3500.0</v>
      </c>
      <c r="G18" s="14">
        <f t="shared" si="2"/>
        <v>10500</v>
      </c>
    </row>
    <row r="19" ht="15.75" customHeight="1">
      <c r="A19" s="1"/>
      <c r="B19" s="1"/>
      <c r="C19" s="21">
        <v>46281.0</v>
      </c>
      <c r="D19" s="2" t="str">
        <f t="shared" si="1"/>
        <v>qua.</v>
      </c>
      <c r="E19" s="20">
        <v>7000.0</v>
      </c>
      <c r="F19" s="22">
        <v>4000.0</v>
      </c>
      <c r="G19" s="14">
        <f t="shared" si="2"/>
        <v>11000</v>
      </c>
    </row>
    <row r="20" ht="15.75" customHeight="1">
      <c r="A20" s="1"/>
      <c r="B20" s="1"/>
      <c r="C20" s="21">
        <v>46282.0</v>
      </c>
      <c r="D20" s="2" t="str">
        <f t="shared" si="1"/>
        <v>qui.</v>
      </c>
      <c r="E20" s="20">
        <v>14000.0</v>
      </c>
      <c r="F20" s="22">
        <v>10500.0</v>
      </c>
      <c r="G20" s="14">
        <f t="shared" si="2"/>
        <v>24500</v>
      </c>
    </row>
    <row r="21" ht="15.75" customHeight="1">
      <c r="A21" s="1"/>
      <c r="B21" s="1"/>
      <c r="C21" s="21">
        <v>46283.0</v>
      </c>
      <c r="D21" s="2" t="str">
        <f t="shared" si="1"/>
        <v>sex.</v>
      </c>
      <c r="E21" s="20">
        <v>20000.0</v>
      </c>
      <c r="F21" s="22">
        <v>13000.0</v>
      </c>
      <c r="G21" s="14">
        <f t="shared" si="2"/>
        <v>33000</v>
      </c>
    </row>
    <row r="22" ht="15.75" customHeight="1">
      <c r="A22" s="1"/>
      <c r="B22" s="1"/>
      <c r="C22" s="21">
        <v>46284.0</v>
      </c>
      <c r="D22" s="2" t="str">
        <f t="shared" si="1"/>
        <v>sáb.</v>
      </c>
      <c r="E22" s="20">
        <v>20000.0</v>
      </c>
      <c r="F22" s="22">
        <v>21000.0</v>
      </c>
      <c r="G22" s="14">
        <f t="shared" si="2"/>
        <v>41000</v>
      </c>
    </row>
    <row r="23" ht="15.75" customHeight="1">
      <c r="A23" s="1"/>
      <c r="B23" s="1"/>
      <c r="C23" s="21">
        <v>46285.0</v>
      </c>
      <c r="D23" s="2" t="str">
        <f t="shared" si="1"/>
        <v>dom.</v>
      </c>
      <c r="E23" s="20">
        <v>4000.0</v>
      </c>
      <c r="F23" s="22">
        <v>3100.0</v>
      </c>
      <c r="G23" s="14">
        <f t="shared" si="2"/>
        <v>7100</v>
      </c>
    </row>
    <row r="24" ht="15.75" customHeight="1">
      <c r="A24" s="1"/>
      <c r="B24" s="1"/>
      <c r="C24" s="21">
        <v>46286.0</v>
      </c>
      <c r="D24" s="2" t="str">
        <f t="shared" si="1"/>
        <v>seg.</v>
      </c>
      <c r="E24" s="20">
        <v>5000.0</v>
      </c>
      <c r="F24" s="22">
        <v>3500.0</v>
      </c>
      <c r="G24" s="14">
        <f t="shared" si="2"/>
        <v>8500</v>
      </c>
    </row>
    <row r="25" ht="15.75" customHeight="1">
      <c r="A25" s="1"/>
      <c r="B25" s="1"/>
      <c r="C25" s="21">
        <v>46287.0</v>
      </c>
      <c r="D25" s="2" t="str">
        <f t="shared" si="1"/>
        <v>ter.</v>
      </c>
      <c r="E25" s="20">
        <f t="shared" ref="E25:E26" si="3">7000*35%+7000</f>
        <v>9450</v>
      </c>
      <c r="F25" s="22">
        <v>3500.0</v>
      </c>
      <c r="G25" s="14">
        <f t="shared" si="2"/>
        <v>12950</v>
      </c>
    </row>
    <row r="26" ht="15.75" customHeight="1">
      <c r="A26" s="1"/>
      <c r="B26" s="1"/>
      <c r="C26" s="21">
        <v>46288.0</v>
      </c>
      <c r="D26" s="2" t="str">
        <f t="shared" si="1"/>
        <v>qua.</v>
      </c>
      <c r="E26" s="20">
        <f t="shared" si="3"/>
        <v>9450</v>
      </c>
      <c r="F26" s="22">
        <v>4000.0</v>
      </c>
      <c r="G26" s="14">
        <f t="shared" si="2"/>
        <v>13450</v>
      </c>
    </row>
    <row r="27" ht="15.75" customHeight="1">
      <c r="A27" s="1"/>
      <c r="B27" s="1"/>
      <c r="C27" s="21">
        <v>46289.0</v>
      </c>
      <c r="D27" s="2" t="str">
        <f t="shared" si="1"/>
        <v>qui.</v>
      </c>
      <c r="E27" s="20">
        <f>14000*35%+14000</f>
        <v>18900</v>
      </c>
      <c r="F27" s="22">
        <v>10500.0</v>
      </c>
      <c r="G27" s="14">
        <f t="shared" si="2"/>
        <v>29400</v>
      </c>
    </row>
    <row r="28" ht="15.75" customHeight="1">
      <c r="A28" s="1"/>
      <c r="B28" s="1"/>
      <c r="C28" s="21">
        <v>46290.0</v>
      </c>
      <c r="D28" s="2" t="str">
        <f t="shared" si="1"/>
        <v>sex.</v>
      </c>
      <c r="E28" s="20">
        <f t="shared" ref="E28:E29" si="4">20000*35%+20000</f>
        <v>27000</v>
      </c>
      <c r="F28" s="22">
        <v>13000.0</v>
      </c>
      <c r="G28" s="14">
        <f t="shared" si="2"/>
        <v>40000</v>
      </c>
    </row>
    <row r="29" ht="15.75" customHeight="1">
      <c r="A29" s="1"/>
      <c r="B29" s="1"/>
      <c r="C29" s="21">
        <v>46291.0</v>
      </c>
      <c r="D29" s="24" t="str">
        <f t="shared" si="1"/>
        <v>sáb.</v>
      </c>
      <c r="E29" s="25">
        <f t="shared" si="4"/>
        <v>27000</v>
      </c>
      <c r="F29" s="26">
        <v>21000.0</v>
      </c>
      <c r="G29" s="16">
        <f t="shared" si="2"/>
        <v>48000</v>
      </c>
    </row>
    <row r="30" ht="15.75" customHeight="1">
      <c r="A30" s="1"/>
      <c r="B30" s="1"/>
      <c r="C30" s="21">
        <v>46292.0</v>
      </c>
      <c r="D30" s="28" t="str">
        <f t="shared" si="1"/>
        <v>dom.</v>
      </c>
      <c r="E30" s="29">
        <f t="shared" ref="E30:E31" si="5">4000*30%+4000</f>
        <v>5200</v>
      </c>
      <c r="F30" s="30">
        <v>3100.0</v>
      </c>
      <c r="G30" s="14">
        <f t="shared" si="2"/>
        <v>8300</v>
      </c>
    </row>
    <row r="31" ht="15.75" customHeight="1">
      <c r="A31" s="1"/>
      <c r="B31" s="1"/>
      <c r="C31" s="21">
        <v>46293.0</v>
      </c>
      <c r="D31" s="2" t="str">
        <f t="shared" si="1"/>
        <v>seg.</v>
      </c>
      <c r="E31" s="20">
        <f t="shared" si="5"/>
        <v>5200</v>
      </c>
      <c r="F31" s="22">
        <v>3500.0</v>
      </c>
      <c r="G31" s="14">
        <f t="shared" si="2"/>
        <v>8700</v>
      </c>
    </row>
    <row r="32" ht="15.75" customHeight="1">
      <c r="A32" s="1"/>
      <c r="B32" s="1"/>
      <c r="C32" s="21">
        <v>46294.0</v>
      </c>
      <c r="D32" s="2" t="str">
        <f t="shared" si="1"/>
        <v>ter.</v>
      </c>
      <c r="E32" s="20">
        <f t="shared" ref="E32:E33" si="6">7000*35%+7000</f>
        <v>9450</v>
      </c>
      <c r="F32" s="22">
        <v>3500.0</v>
      </c>
      <c r="G32" s="14">
        <f t="shared" si="2"/>
        <v>12950</v>
      </c>
    </row>
    <row r="33" ht="15.75" customHeight="1">
      <c r="A33" s="1"/>
      <c r="B33" s="1"/>
      <c r="C33" s="21">
        <v>46295.0</v>
      </c>
      <c r="D33" s="2" t="str">
        <f t="shared" si="1"/>
        <v>qua.</v>
      </c>
      <c r="E33" s="20">
        <f t="shared" si="6"/>
        <v>9450</v>
      </c>
      <c r="F33" s="22">
        <v>4000.0</v>
      </c>
      <c r="G33" s="14">
        <f t="shared" si="2"/>
        <v>13450</v>
      </c>
    </row>
    <row r="34" ht="15.75" customHeight="1">
      <c r="A34" s="1"/>
      <c r="B34" s="1"/>
      <c r="C34" s="21"/>
      <c r="D34" s="2"/>
      <c r="E34" s="20"/>
      <c r="F34" s="22"/>
      <c r="G34" s="14"/>
    </row>
    <row r="35" ht="15.75" customHeight="1">
      <c r="E35" s="18">
        <f t="shared" ref="E35:G35" si="7">SUM(E4:E33)</f>
        <v>350100</v>
      </c>
      <c r="F35" s="19">
        <f t="shared" si="7"/>
        <v>250000</v>
      </c>
      <c r="G35" s="14">
        <f t="shared" si="7"/>
        <v>600100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46296.0</v>
      </c>
      <c r="D4" s="2" t="str">
        <f t="shared" ref="D4:D34" si="1">TEXT(C4,"ddd")</f>
        <v>qui.</v>
      </c>
      <c r="E4" s="20"/>
      <c r="F4" s="22"/>
      <c r="G4" s="14">
        <f t="shared" ref="G4:G34" si="2">E4+F4</f>
        <v>0</v>
      </c>
    </row>
    <row r="5" ht="15.75" customHeight="1">
      <c r="A5" s="1"/>
      <c r="B5" s="1"/>
      <c r="C5" s="21">
        <v>46297.0</v>
      </c>
      <c r="D5" s="2" t="str">
        <f t="shared" si="1"/>
        <v>sex.</v>
      </c>
      <c r="E5" s="20"/>
      <c r="F5" s="22"/>
      <c r="G5" s="14">
        <f t="shared" si="2"/>
        <v>0</v>
      </c>
    </row>
    <row r="6" ht="15.75" customHeight="1">
      <c r="A6" s="1"/>
      <c r="B6" s="1"/>
      <c r="C6" s="21">
        <v>46298.0</v>
      </c>
      <c r="D6" s="2" t="str">
        <f t="shared" si="1"/>
        <v>sáb.</v>
      </c>
      <c r="E6" s="20"/>
      <c r="F6" s="22"/>
      <c r="G6" s="14">
        <f t="shared" si="2"/>
        <v>0</v>
      </c>
    </row>
    <row r="7" ht="15.75" customHeight="1">
      <c r="A7" s="1"/>
      <c r="B7" s="1"/>
      <c r="C7" s="21">
        <v>46299.0</v>
      </c>
      <c r="D7" s="2" t="str">
        <f t="shared" si="1"/>
        <v>dom.</v>
      </c>
      <c r="E7" s="20"/>
      <c r="F7" s="22"/>
      <c r="G7" s="14">
        <f t="shared" si="2"/>
        <v>0</v>
      </c>
    </row>
    <row r="8" ht="15.75" customHeight="1">
      <c r="A8" s="1"/>
      <c r="B8" s="1"/>
      <c r="C8" s="21">
        <v>46300.0</v>
      </c>
      <c r="D8" s="2" t="str">
        <f t="shared" si="1"/>
        <v>seg.</v>
      </c>
      <c r="E8" s="20"/>
      <c r="F8" s="22"/>
      <c r="G8" s="14">
        <f t="shared" si="2"/>
        <v>0</v>
      </c>
    </row>
    <row r="9" ht="15.75" customHeight="1">
      <c r="A9" s="1"/>
      <c r="B9" s="1"/>
      <c r="C9" s="21">
        <v>46301.0</v>
      </c>
      <c r="D9" s="2" t="str">
        <f t="shared" si="1"/>
        <v>ter.</v>
      </c>
      <c r="E9" s="20"/>
      <c r="F9" s="22"/>
      <c r="G9" s="14">
        <f t="shared" si="2"/>
        <v>0</v>
      </c>
    </row>
    <row r="10" ht="15.75" customHeight="1">
      <c r="A10" s="1"/>
      <c r="B10" s="1"/>
      <c r="C10" s="21">
        <v>46302.0</v>
      </c>
      <c r="D10" s="2" t="str">
        <f t="shared" si="1"/>
        <v>qua.</v>
      </c>
      <c r="E10" s="20"/>
      <c r="F10" s="22"/>
      <c r="G10" s="14">
        <f t="shared" si="2"/>
        <v>0</v>
      </c>
    </row>
    <row r="11" ht="15.75" customHeight="1">
      <c r="A11" s="1"/>
      <c r="B11" s="1"/>
      <c r="C11" s="21">
        <v>46303.0</v>
      </c>
      <c r="D11" s="2" t="str">
        <f t="shared" si="1"/>
        <v>qui.</v>
      </c>
      <c r="E11" s="20"/>
      <c r="F11" s="22"/>
      <c r="G11" s="14">
        <f t="shared" si="2"/>
        <v>0</v>
      </c>
    </row>
    <row r="12" ht="15.75" customHeight="1">
      <c r="A12" s="1"/>
      <c r="B12" s="1"/>
      <c r="C12" s="21">
        <v>46304.0</v>
      </c>
      <c r="D12" s="2" t="str">
        <f t="shared" si="1"/>
        <v>sex.</v>
      </c>
      <c r="E12" s="20"/>
      <c r="F12" s="22"/>
      <c r="G12" s="14">
        <f t="shared" si="2"/>
        <v>0</v>
      </c>
    </row>
    <row r="13" ht="15.75" customHeight="1">
      <c r="A13" s="1"/>
      <c r="B13" s="1"/>
      <c r="C13" s="21">
        <v>46305.0</v>
      </c>
      <c r="D13" s="2" t="str">
        <f t="shared" si="1"/>
        <v>sáb.</v>
      </c>
      <c r="E13" s="20"/>
      <c r="F13" s="22"/>
      <c r="G13" s="14">
        <f t="shared" si="2"/>
        <v>0</v>
      </c>
    </row>
    <row r="14" ht="15.75" customHeight="1">
      <c r="A14" s="1"/>
      <c r="B14" s="1"/>
      <c r="C14" s="21">
        <v>46306.0</v>
      </c>
      <c r="D14" s="2" t="str">
        <f t="shared" si="1"/>
        <v>dom.</v>
      </c>
      <c r="E14" s="3"/>
      <c r="F14" s="22"/>
      <c r="G14" s="14">
        <f t="shared" si="2"/>
        <v>0</v>
      </c>
    </row>
    <row r="15" ht="15.75" customHeight="1">
      <c r="A15" s="1"/>
      <c r="B15" s="1"/>
      <c r="C15" s="21">
        <v>46307.0</v>
      </c>
      <c r="D15" s="2" t="str">
        <f t="shared" si="1"/>
        <v>seg.</v>
      </c>
      <c r="E15" s="20"/>
      <c r="F15" s="22"/>
      <c r="G15" s="14">
        <f t="shared" si="2"/>
        <v>0</v>
      </c>
    </row>
    <row r="16" ht="15.75" customHeight="1">
      <c r="A16" s="1"/>
      <c r="B16" s="1"/>
      <c r="C16" s="21">
        <v>46308.0</v>
      </c>
      <c r="D16" s="2" t="str">
        <f t="shared" si="1"/>
        <v>ter.</v>
      </c>
      <c r="E16" s="20"/>
      <c r="F16" s="22"/>
      <c r="G16" s="14">
        <f t="shared" si="2"/>
        <v>0</v>
      </c>
    </row>
    <row r="17" ht="15.75" customHeight="1">
      <c r="A17" s="1"/>
      <c r="B17" s="1"/>
      <c r="C17" s="21">
        <v>46309.0</v>
      </c>
      <c r="D17" s="2" t="str">
        <f t="shared" si="1"/>
        <v>qua.</v>
      </c>
      <c r="E17" s="20"/>
      <c r="F17" s="22"/>
      <c r="G17" s="14">
        <f t="shared" si="2"/>
        <v>0</v>
      </c>
    </row>
    <row r="18" ht="15.75" customHeight="1">
      <c r="A18" s="1"/>
      <c r="B18" s="1"/>
      <c r="C18" s="21">
        <v>46310.0</v>
      </c>
      <c r="D18" s="2" t="str">
        <f t="shared" si="1"/>
        <v>qui.</v>
      </c>
      <c r="E18" s="20"/>
      <c r="F18" s="22"/>
      <c r="G18" s="14">
        <f t="shared" si="2"/>
        <v>0</v>
      </c>
    </row>
    <row r="19" ht="15.75" customHeight="1">
      <c r="A19" s="1"/>
      <c r="B19" s="1"/>
      <c r="C19" s="21">
        <v>46311.0</v>
      </c>
      <c r="D19" s="2" t="str">
        <f t="shared" si="1"/>
        <v>sex.</v>
      </c>
      <c r="E19" s="20"/>
      <c r="F19" s="22"/>
      <c r="G19" s="14">
        <f t="shared" si="2"/>
        <v>0</v>
      </c>
    </row>
    <row r="20" ht="15.75" customHeight="1">
      <c r="A20" s="1"/>
      <c r="B20" s="1"/>
      <c r="C20" s="21">
        <v>46312.0</v>
      </c>
      <c r="D20" s="2" t="str">
        <f t="shared" si="1"/>
        <v>sáb.</v>
      </c>
      <c r="E20" s="20"/>
      <c r="F20" s="22"/>
      <c r="G20" s="14">
        <f t="shared" si="2"/>
        <v>0</v>
      </c>
    </row>
    <row r="21" ht="15.75" customHeight="1">
      <c r="A21" s="1"/>
      <c r="B21" s="1"/>
      <c r="C21" s="21">
        <v>46313.0</v>
      </c>
      <c r="D21" s="2" t="str">
        <f t="shared" si="1"/>
        <v>dom.</v>
      </c>
      <c r="E21" s="20"/>
      <c r="F21" s="22"/>
      <c r="G21" s="14">
        <f t="shared" si="2"/>
        <v>0</v>
      </c>
    </row>
    <row r="22" ht="15.75" customHeight="1">
      <c r="A22" s="1"/>
      <c r="B22" s="1"/>
      <c r="C22" s="21">
        <v>46314.0</v>
      </c>
      <c r="D22" s="2" t="str">
        <f t="shared" si="1"/>
        <v>seg.</v>
      </c>
      <c r="E22" s="20"/>
      <c r="F22" s="22"/>
      <c r="G22" s="14">
        <f t="shared" si="2"/>
        <v>0</v>
      </c>
    </row>
    <row r="23" ht="15.75" customHeight="1">
      <c r="A23" s="1"/>
      <c r="B23" s="1"/>
      <c r="C23" s="21">
        <v>46315.0</v>
      </c>
      <c r="D23" s="2" t="str">
        <f t="shared" si="1"/>
        <v>ter.</v>
      </c>
      <c r="E23" s="20"/>
      <c r="F23" s="22"/>
      <c r="G23" s="14">
        <f t="shared" si="2"/>
        <v>0</v>
      </c>
    </row>
    <row r="24" ht="15.75" customHeight="1">
      <c r="A24" s="1"/>
      <c r="B24" s="1"/>
      <c r="C24" s="21">
        <v>46316.0</v>
      </c>
      <c r="D24" s="2" t="str">
        <f t="shared" si="1"/>
        <v>qua.</v>
      </c>
      <c r="E24" s="20"/>
      <c r="F24" s="22"/>
      <c r="G24" s="14">
        <f t="shared" si="2"/>
        <v>0</v>
      </c>
    </row>
    <row r="25" ht="15.75" customHeight="1">
      <c r="A25" s="1"/>
      <c r="B25" s="1"/>
      <c r="C25" s="21">
        <v>46317.0</v>
      </c>
      <c r="D25" s="2" t="str">
        <f t="shared" si="1"/>
        <v>qui.</v>
      </c>
      <c r="E25" s="20"/>
      <c r="F25" s="22"/>
      <c r="G25" s="14">
        <f t="shared" si="2"/>
        <v>0</v>
      </c>
    </row>
    <row r="26" ht="15.75" customHeight="1">
      <c r="A26" s="1"/>
      <c r="B26" s="1"/>
      <c r="C26" s="21">
        <v>46318.0</v>
      </c>
      <c r="D26" s="2" t="str">
        <f t="shared" si="1"/>
        <v>sex.</v>
      </c>
      <c r="E26" s="20"/>
      <c r="F26" s="22"/>
      <c r="G26" s="14">
        <f t="shared" si="2"/>
        <v>0</v>
      </c>
    </row>
    <row r="27" ht="15.75" customHeight="1">
      <c r="A27" s="1"/>
      <c r="B27" s="1"/>
      <c r="C27" s="21">
        <v>46319.0</v>
      </c>
      <c r="D27" s="2" t="str">
        <f t="shared" si="1"/>
        <v>sáb.</v>
      </c>
      <c r="E27" s="20"/>
      <c r="F27" s="22"/>
      <c r="G27" s="14">
        <f t="shared" si="2"/>
        <v>0</v>
      </c>
    </row>
    <row r="28" ht="15.75" customHeight="1">
      <c r="A28" s="1"/>
      <c r="B28" s="1"/>
      <c r="C28" s="21">
        <v>46320.0</v>
      </c>
      <c r="D28" s="2" t="str">
        <f t="shared" si="1"/>
        <v>dom.</v>
      </c>
      <c r="E28" s="20"/>
      <c r="F28" s="22"/>
      <c r="G28" s="14">
        <f t="shared" si="2"/>
        <v>0</v>
      </c>
    </row>
    <row r="29" ht="15.75" customHeight="1">
      <c r="A29" s="1"/>
      <c r="B29" s="1"/>
      <c r="C29" s="21">
        <v>46321.0</v>
      </c>
      <c r="D29" s="24" t="str">
        <f t="shared" si="1"/>
        <v>seg.</v>
      </c>
      <c r="E29" s="25"/>
      <c r="F29" s="26"/>
      <c r="G29" s="16">
        <f t="shared" si="2"/>
        <v>0</v>
      </c>
    </row>
    <row r="30" ht="15.75" customHeight="1">
      <c r="A30" s="1"/>
      <c r="B30" s="1"/>
      <c r="C30" s="21">
        <v>46322.0</v>
      </c>
      <c r="D30" s="28" t="str">
        <f t="shared" si="1"/>
        <v>ter.</v>
      </c>
      <c r="E30" s="29"/>
      <c r="F30" s="30"/>
      <c r="G30" s="14">
        <f t="shared" si="2"/>
        <v>0</v>
      </c>
    </row>
    <row r="31" ht="15.75" customHeight="1">
      <c r="A31" s="1"/>
      <c r="B31" s="1"/>
      <c r="C31" s="21">
        <v>46323.0</v>
      </c>
      <c r="D31" s="2" t="str">
        <f t="shared" si="1"/>
        <v>qua.</v>
      </c>
      <c r="E31" s="20"/>
      <c r="F31" s="22"/>
      <c r="G31" s="14">
        <f t="shared" si="2"/>
        <v>0</v>
      </c>
    </row>
    <row r="32" ht="15.75" customHeight="1">
      <c r="A32" s="1"/>
      <c r="B32" s="1"/>
      <c r="C32" s="21">
        <v>46324.0</v>
      </c>
      <c r="D32" s="2" t="str">
        <f t="shared" si="1"/>
        <v>qui.</v>
      </c>
      <c r="E32" s="20"/>
      <c r="F32" s="22"/>
      <c r="G32" s="14">
        <f t="shared" si="2"/>
        <v>0</v>
      </c>
    </row>
    <row r="33" ht="15.75" customHeight="1">
      <c r="A33" s="1"/>
      <c r="B33" s="1"/>
      <c r="C33" s="21">
        <v>46325.0</v>
      </c>
      <c r="D33" s="2" t="str">
        <f t="shared" si="1"/>
        <v>sex.</v>
      </c>
      <c r="E33" s="20"/>
      <c r="F33" s="22"/>
      <c r="G33" s="14">
        <f t="shared" si="2"/>
        <v>0</v>
      </c>
    </row>
    <row r="34" ht="15.75" customHeight="1">
      <c r="A34" s="1"/>
      <c r="B34" s="1"/>
      <c r="C34" s="21">
        <v>46326.0</v>
      </c>
      <c r="D34" s="2" t="str">
        <f t="shared" si="1"/>
        <v>sáb.</v>
      </c>
      <c r="E34" s="20"/>
      <c r="F34" s="22"/>
      <c r="G34" s="14">
        <f t="shared" si="2"/>
        <v>0</v>
      </c>
    </row>
    <row r="35" ht="15.75" customHeight="1">
      <c r="E35" s="18">
        <f t="shared" ref="E35:G35" si="3">SUM(E4:E33)</f>
        <v>0</v>
      </c>
      <c r="F35" s="19">
        <f t="shared" si="3"/>
        <v>0</v>
      </c>
      <c r="G35" s="14">
        <f t="shared" si="3"/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46327.0</v>
      </c>
      <c r="D4" s="2" t="str">
        <f t="shared" ref="D4:D33" si="1">TEXT(C4,"ddd")</f>
        <v>dom.</v>
      </c>
      <c r="E4" s="20"/>
      <c r="F4" s="22"/>
      <c r="G4" s="14">
        <f t="shared" ref="G4:G33" si="2">E4+F4</f>
        <v>0</v>
      </c>
    </row>
    <row r="5" ht="15.75" customHeight="1">
      <c r="A5" s="1"/>
      <c r="B5" s="1"/>
      <c r="C5" s="21">
        <v>46328.0</v>
      </c>
      <c r="D5" s="2" t="str">
        <f t="shared" si="1"/>
        <v>seg.</v>
      </c>
      <c r="E5" s="20"/>
      <c r="F5" s="22"/>
      <c r="G5" s="14">
        <f t="shared" si="2"/>
        <v>0</v>
      </c>
    </row>
    <row r="6" ht="15.75" customHeight="1">
      <c r="A6" s="1"/>
      <c r="B6" s="1"/>
      <c r="C6" s="21">
        <v>46329.0</v>
      </c>
      <c r="D6" s="2" t="str">
        <f t="shared" si="1"/>
        <v>ter.</v>
      </c>
      <c r="E6" s="20"/>
      <c r="F6" s="22"/>
      <c r="G6" s="14">
        <f t="shared" si="2"/>
        <v>0</v>
      </c>
    </row>
    <row r="7" ht="15.75" customHeight="1">
      <c r="A7" s="1"/>
      <c r="B7" s="1"/>
      <c r="C7" s="21">
        <v>46330.0</v>
      </c>
      <c r="D7" s="2" t="str">
        <f t="shared" si="1"/>
        <v>qua.</v>
      </c>
      <c r="E7" s="20"/>
      <c r="F7" s="22"/>
      <c r="G7" s="14">
        <f t="shared" si="2"/>
        <v>0</v>
      </c>
    </row>
    <row r="8" ht="15.75" customHeight="1">
      <c r="A8" s="1"/>
      <c r="B8" s="1"/>
      <c r="C8" s="21">
        <v>46331.0</v>
      </c>
      <c r="D8" s="2" t="str">
        <f t="shared" si="1"/>
        <v>qui.</v>
      </c>
      <c r="E8" s="20"/>
      <c r="F8" s="22"/>
      <c r="G8" s="14">
        <f t="shared" si="2"/>
        <v>0</v>
      </c>
    </row>
    <row r="9" ht="15.75" customHeight="1">
      <c r="A9" s="1"/>
      <c r="B9" s="1"/>
      <c r="C9" s="21">
        <v>46332.0</v>
      </c>
      <c r="D9" s="2" t="str">
        <f t="shared" si="1"/>
        <v>sex.</v>
      </c>
      <c r="E9" s="20"/>
      <c r="F9" s="22"/>
      <c r="G9" s="14">
        <f t="shared" si="2"/>
        <v>0</v>
      </c>
    </row>
    <row r="10" ht="15.75" customHeight="1">
      <c r="A10" s="1"/>
      <c r="B10" s="1"/>
      <c r="C10" s="21">
        <v>46333.0</v>
      </c>
      <c r="D10" s="2" t="str">
        <f t="shared" si="1"/>
        <v>sáb.</v>
      </c>
      <c r="E10" s="20"/>
      <c r="F10" s="22"/>
      <c r="G10" s="14">
        <f t="shared" si="2"/>
        <v>0</v>
      </c>
    </row>
    <row r="11" ht="15.75" customHeight="1">
      <c r="A11" s="1"/>
      <c r="B11" s="1"/>
      <c r="C11" s="21">
        <v>46334.0</v>
      </c>
      <c r="D11" s="2" t="str">
        <f t="shared" si="1"/>
        <v>dom.</v>
      </c>
      <c r="E11" s="20"/>
      <c r="F11" s="22"/>
      <c r="G11" s="14">
        <f t="shared" si="2"/>
        <v>0</v>
      </c>
    </row>
    <row r="12" ht="15.75" customHeight="1">
      <c r="A12" s="1"/>
      <c r="B12" s="1"/>
      <c r="C12" s="21">
        <v>46335.0</v>
      </c>
      <c r="D12" s="2" t="str">
        <f t="shared" si="1"/>
        <v>seg.</v>
      </c>
      <c r="E12" s="20"/>
      <c r="F12" s="22"/>
      <c r="G12" s="14">
        <f t="shared" si="2"/>
        <v>0</v>
      </c>
    </row>
    <row r="13" ht="15.75" customHeight="1">
      <c r="A13" s="1"/>
      <c r="B13" s="1"/>
      <c r="C13" s="21">
        <v>46336.0</v>
      </c>
      <c r="D13" s="2" t="str">
        <f t="shared" si="1"/>
        <v>ter.</v>
      </c>
      <c r="E13" s="20"/>
      <c r="F13" s="22"/>
      <c r="G13" s="14">
        <f t="shared" si="2"/>
        <v>0</v>
      </c>
    </row>
    <row r="14" ht="15.75" customHeight="1">
      <c r="A14" s="1"/>
      <c r="B14" s="1"/>
      <c r="C14" s="21">
        <v>46337.0</v>
      </c>
      <c r="D14" s="2" t="str">
        <f t="shared" si="1"/>
        <v>qua.</v>
      </c>
      <c r="E14" s="3"/>
      <c r="F14" s="22"/>
      <c r="G14" s="14">
        <f t="shared" si="2"/>
        <v>0</v>
      </c>
    </row>
    <row r="15" ht="15.75" customHeight="1">
      <c r="A15" s="1"/>
      <c r="B15" s="1"/>
      <c r="C15" s="21">
        <v>46338.0</v>
      </c>
      <c r="D15" s="2" t="str">
        <f t="shared" si="1"/>
        <v>qui.</v>
      </c>
      <c r="E15" s="20"/>
      <c r="F15" s="22"/>
      <c r="G15" s="14">
        <f t="shared" si="2"/>
        <v>0</v>
      </c>
    </row>
    <row r="16" ht="15.75" customHeight="1">
      <c r="A16" s="1"/>
      <c r="B16" s="1"/>
      <c r="C16" s="21">
        <v>46339.0</v>
      </c>
      <c r="D16" s="2" t="str">
        <f t="shared" si="1"/>
        <v>sex.</v>
      </c>
      <c r="E16" s="20"/>
      <c r="F16" s="22"/>
      <c r="G16" s="14">
        <f t="shared" si="2"/>
        <v>0</v>
      </c>
    </row>
    <row r="17" ht="15.75" customHeight="1">
      <c r="A17" s="1"/>
      <c r="B17" s="1"/>
      <c r="C17" s="21">
        <v>46340.0</v>
      </c>
      <c r="D17" s="2" t="str">
        <f t="shared" si="1"/>
        <v>sáb.</v>
      </c>
      <c r="E17" s="20"/>
      <c r="F17" s="22"/>
      <c r="G17" s="14">
        <f t="shared" si="2"/>
        <v>0</v>
      </c>
    </row>
    <row r="18" ht="15.75" customHeight="1">
      <c r="A18" s="1"/>
      <c r="B18" s="1"/>
      <c r="C18" s="21">
        <v>46341.0</v>
      </c>
      <c r="D18" s="2" t="str">
        <f t="shared" si="1"/>
        <v>dom.</v>
      </c>
      <c r="E18" s="20"/>
      <c r="F18" s="22"/>
      <c r="G18" s="14">
        <f t="shared" si="2"/>
        <v>0</v>
      </c>
    </row>
    <row r="19" ht="15.75" customHeight="1">
      <c r="A19" s="1"/>
      <c r="B19" s="1"/>
      <c r="C19" s="21">
        <v>46342.0</v>
      </c>
      <c r="D19" s="2" t="str">
        <f t="shared" si="1"/>
        <v>seg.</v>
      </c>
      <c r="E19" s="20"/>
      <c r="F19" s="22"/>
      <c r="G19" s="14">
        <f t="shared" si="2"/>
        <v>0</v>
      </c>
    </row>
    <row r="20" ht="15.75" customHeight="1">
      <c r="A20" s="1"/>
      <c r="B20" s="1"/>
      <c r="C20" s="21">
        <v>46343.0</v>
      </c>
      <c r="D20" s="2" t="str">
        <f t="shared" si="1"/>
        <v>ter.</v>
      </c>
      <c r="E20" s="20"/>
      <c r="F20" s="22"/>
      <c r="G20" s="14">
        <f t="shared" si="2"/>
        <v>0</v>
      </c>
    </row>
    <row r="21" ht="15.75" customHeight="1">
      <c r="A21" s="1"/>
      <c r="B21" s="1"/>
      <c r="C21" s="21">
        <v>46344.0</v>
      </c>
      <c r="D21" s="2" t="str">
        <f t="shared" si="1"/>
        <v>qua.</v>
      </c>
      <c r="E21" s="20"/>
      <c r="F21" s="22"/>
      <c r="G21" s="14">
        <f t="shared" si="2"/>
        <v>0</v>
      </c>
    </row>
    <row r="22" ht="15.75" customHeight="1">
      <c r="A22" s="1"/>
      <c r="B22" s="1"/>
      <c r="C22" s="21">
        <v>46345.0</v>
      </c>
      <c r="D22" s="2" t="str">
        <f t="shared" si="1"/>
        <v>qui.</v>
      </c>
      <c r="E22" s="20"/>
      <c r="F22" s="22"/>
      <c r="G22" s="14">
        <f t="shared" si="2"/>
        <v>0</v>
      </c>
    </row>
    <row r="23" ht="15.75" customHeight="1">
      <c r="A23" s="1"/>
      <c r="B23" s="1"/>
      <c r="C23" s="21">
        <v>46346.0</v>
      </c>
      <c r="D23" s="2" t="str">
        <f t="shared" si="1"/>
        <v>sex.</v>
      </c>
      <c r="E23" s="20"/>
      <c r="F23" s="22"/>
      <c r="G23" s="14">
        <f t="shared" si="2"/>
        <v>0</v>
      </c>
    </row>
    <row r="24" ht="15.75" customHeight="1">
      <c r="A24" s="1"/>
      <c r="B24" s="1"/>
      <c r="C24" s="21">
        <v>46347.0</v>
      </c>
      <c r="D24" s="2" t="str">
        <f t="shared" si="1"/>
        <v>sáb.</v>
      </c>
      <c r="E24" s="20"/>
      <c r="F24" s="22"/>
      <c r="G24" s="14">
        <f t="shared" si="2"/>
        <v>0</v>
      </c>
    </row>
    <row r="25" ht="15.75" customHeight="1">
      <c r="A25" s="1"/>
      <c r="B25" s="1"/>
      <c r="C25" s="21">
        <v>46348.0</v>
      </c>
      <c r="D25" s="2" t="str">
        <f t="shared" si="1"/>
        <v>dom.</v>
      </c>
      <c r="E25" s="20"/>
      <c r="F25" s="22"/>
      <c r="G25" s="14">
        <f t="shared" si="2"/>
        <v>0</v>
      </c>
    </row>
    <row r="26" ht="15.75" customHeight="1">
      <c r="A26" s="1"/>
      <c r="B26" s="1"/>
      <c r="C26" s="21">
        <v>46349.0</v>
      </c>
      <c r="D26" s="2" t="str">
        <f t="shared" si="1"/>
        <v>seg.</v>
      </c>
      <c r="E26" s="20"/>
      <c r="F26" s="22"/>
      <c r="G26" s="14">
        <f t="shared" si="2"/>
        <v>0</v>
      </c>
    </row>
    <row r="27" ht="15.75" customHeight="1">
      <c r="A27" s="1"/>
      <c r="B27" s="1"/>
      <c r="C27" s="21">
        <v>46350.0</v>
      </c>
      <c r="D27" s="2" t="str">
        <f t="shared" si="1"/>
        <v>ter.</v>
      </c>
      <c r="E27" s="20"/>
      <c r="F27" s="22"/>
      <c r="G27" s="14">
        <f t="shared" si="2"/>
        <v>0</v>
      </c>
    </row>
    <row r="28" ht="15.75" customHeight="1">
      <c r="A28" s="1"/>
      <c r="B28" s="1"/>
      <c r="C28" s="21">
        <v>46351.0</v>
      </c>
      <c r="D28" s="2" t="str">
        <f t="shared" si="1"/>
        <v>qua.</v>
      </c>
      <c r="E28" s="20"/>
      <c r="F28" s="22"/>
      <c r="G28" s="14">
        <f t="shared" si="2"/>
        <v>0</v>
      </c>
    </row>
    <row r="29" ht="15.75" customHeight="1">
      <c r="A29" s="1"/>
      <c r="B29" s="1"/>
      <c r="C29" s="21">
        <v>46352.0</v>
      </c>
      <c r="D29" s="24" t="str">
        <f t="shared" si="1"/>
        <v>qui.</v>
      </c>
      <c r="E29" s="25"/>
      <c r="F29" s="26"/>
      <c r="G29" s="16">
        <f t="shared" si="2"/>
        <v>0</v>
      </c>
    </row>
    <row r="30" ht="15.75" customHeight="1">
      <c r="A30" s="1"/>
      <c r="B30" s="1"/>
      <c r="C30" s="21">
        <v>46353.0</v>
      </c>
      <c r="D30" s="28" t="str">
        <f t="shared" si="1"/>
        <v>sex.</v>
      </c>
      <c r="E30" s="29"/>
      <c r="F30" s="30"/>
      <c r="G30" s="14">
        <f t="shared" si="2"/>
        <v>0</v>
      </c>
    </row>
    <row r="31" ht="15.75" customHeight="1">
      <c r="A31" s="1"/>
      <c r="B31" s="1"/>
      <c r="C31" s="21">
        <v>46354.0</v>
      </c>
      <c r="D31" s="2" t="str">
        <f t="shared" si="1"/>
        <v>sáb.</v>
      </c>
      <c r="E31" s="20"/>
      <c r="F31" s="22"/>
      <c r="G31" s="14">
        <f t="shared" si="2"/>
        <v>0</v>
      </c>
    </row>
    <row r="32" ht="15.75" customHeight="1">
      <c r="A32" s="1"/>
      <c r="B32" s="1"/>
      <c r="C32" s="21">
        <v>46355.0</v>
      </c>
      <c r="D32" s="2" t="str">
        <f t="shared" si="1"/>
        <v>dom.</v>
      </c>
      <c r="E32" s="20"/>
      <c r="F32" s="22"/>
      <c r="G32" s="14">
        <f t="shared" si="2"/>
        <v>0</v>
      </c>
    </row>
    <row r="33" ht="15.75" customHeight="1">
      <c r="A33" s="1"/>
      <c r="B33" s="1"/>
      <c r="C33" s="21">
        <v>46356.0</v>
      </c>
      <c r="D33" s="2" t="str">
        <f t="shared" si="1"/>
        <v>seg.</v>
      </c>
      <c r="E33" s="20"/>
      <c r="F33" s="22"/>
      <c r="G33" s="14">
        <f t="shared" si="2"/>
        <v>0</v>
      </c>
    </row>
    <row r="34" ht="15.75" customHeight="1">
      <c r="A34" s="1"/>
      <c r="B34" s="1"/>
      <c r="C34" s="21"/>
      <c r="D34" s="2"/>
      <c r="E34" s="20"/>
      <c r="F34" s="22"/>
      <c r="G34" s="14"/>
    </row>
    <row r="35" ht="15.75" customHeight="1">
      <c r="E35" s="18">
        <f t="shared" ref="E35:G35" si="3">SUM(E4:E33)</f>
        <v>0</v>
      </c>
      <c r="F35" s="19">
        <f t="shared" si="3"/>
        <v>0</v>
      </c>
      <c r="G35" s="14">
        <f t="shared" si="3"/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88"/>
    <col customWidth="1" min="4" max="4" width="20.63"/>
    <col customWidth="1" min="5" max="5" width="25.88"/>
    <col customWidth="1" min="6" max="6" width="19.63"/>
    <col customWidth="1" min="7" max="7" width="18.5"/>
  </cols>
  <sheetData>
    <row r="1" ht="15.75" customHeight="1"/>
    <row r="2" ht="15.75" customHeight="1"/>
    <row r="3" ht="15.75" customHeight="1">
      <c r="A3" s="1"/>
      <c r="B3" s="1"/>
      <c r="C3" s="2" t="s">
        <v>0</v>
      </c>
      <c r="D3" s="2" t="s">
        <v>1</v>
      </c>
      <c r="E3" s="3" t="s">
        <v>2</v>
      </c>
      <c r="F3" s="4" t="s">
        <v>3</v>
      </c>
      <c r="G3" s="3" t="s">
        <v>4</v>
      </c>
    </row>
    <row r="4" ht="15.75" customHeight="1">
      <c r="A4" s="1"/>
      <c r="B4" s="1"/>
      <c r="C4" s="21">
        <v>46357.0</v>
      </c>
      <c r="D4" s="2" t="str">
        <f t="shared" ref="D4:D34" si="1">TEXT(C4,"ddd")</f>
        <v>ter.</v>
      </c>
      <c r="E4" s="20"/>
      <c r="F4" s="22"/>
      <c r="G4" s="14">
        <f t="shared" ref="G4:G34" si="2">E4+F4</f>
        <v>0</v>
      </c>
    </row>
    <row r="5" ht="15.75" customHeight="1">
      <c r="A5" s="1"/>
      <c r="B5" s="1"/>
      <c r="C5" s="21">
        <v>46358.0</v>
      </c>
      <c r="D5" s="2" t="str">
        <f t="shared" si="1"/>
        <v>qua.</v>
      </c>
      <c r="E5" s="20"/>
      <c r="F5" s="22"/>
      <c r="G5" s="14">
        <f t="shared" si="2"/>
        <v>0</v>
      </c>
    </row>
    <row r="6" ht="15.75" customHeight="1">
      <c r="A6" s="1"/>
      <c r="B6" s="1"/>
      <c r="C6" s="21">
        <v>46359.0</v>
      </c>
      <c r="D6" s="2" t="str">
        <f t="shared" si="1"/>
        <v>qui.</v>
      </c>
      <c r="E6" s="20"/>
      <c r="F6" s="22"/>
      <c r="G6" s="14">
        <f t="shared" si="2"/>
        <v>0</v>
      </c>
    </row>
    <row r="7" ht="15.75" customHeight="1">
      <c r="A7" s="1"/>
      <c r="B7" s="1"/>
      <c r="C7" s="21">
        <v>46360.0</v>
      </c>
      <c r="D7" s="2" t="str">
        <f t="shared" si="1"/>
        <v>sex.</v>
      </c>
      <c r="E7" s="20"/>
      <c r="F7" s="22"/>
      <c r="G7" s="14">
        <f t="shared" si="2"/>
        <v>0</v>
      </c>
    </row>
    <row r="8" ht="15.75" customHeight="1">
      <c r="A8" s="1"/>
      <c r="B8" s="1"/>
      <c r="C8" s="21">
        <v>46361.0</v>
      </c>
      <c r="D8" s="2" t="str">
        <f t="shared" si="1"/>
        <v>sáb.</v>
      </c>
      <c r="E8" s="20"/>
      <c r="F8" s="22"/>
      <c r="G8" s="14">
        <f t="shared" si="2"/>
        <v>0</v>
      </c>
    </row>
    <row r="9" ht="15.75" customHeight="1">
      <c r="A9" s="1"/>
      <c r="B9" s="1"/>
      <c r="C9" s="21">
        <v>46362.0</v>
      </c>
      <c r="D9" s="2" t="str">
        <f t="shared" si="1"/>
        <v>dom.</v>
      </c>
      <c r="E9" s="20"/>
      <c r="F9" s="22"/>
      <c r="G9" s="14">
        <f t="shared" si="2"/>
        <v>0</v>
      </c>
    </row>
    <row r="10" ht="15.75" customHeight="1">
      <c r="A10" s="1"/>
      <c r="B10" s="1"/>
      <c r="C10" s="21">
        <v>46363.0</v>
      </c>
      <c r="D10" s="2" t="str">
        <f t="shared" si="1"/>
        <v>seg.</v>
      </c>
      <c r="E10" s="20"/>
      <c r="F10" s="22"/>
      <c r="G10" s="14">
        <f t="shared" si="2"/>
        <v>0</v>
      </c>
    </row>
    <row r="11" ht="15.75" customHeight="1">
      <c r="A11" s="1"/>
      <c r="B11" s="1"/>
      <c r="C11" s="21">
        <v>46364.0</v>
      </c>
      <c r="D11" s="2" t="str">
        <f t="shared" si="1"/>
        <v>ter.</v>
      </c>
      <c r="E11" s="20"/>
      <c r="F11" s="22"/>
      <c r="G11" s="14">
        <f t="shared" si="2"/>
        <v>0</v>
      </c>
    </row>
    <row r="12" ht="15.75" customHeight="1">
      <c r="A12" s="1"/>
      <c r="B12" s="1"/>
      <c r="C12" s="21">
        <v>46365.0</v>
      </c>
      <c r="D12" s="2" t="str">
        <f t="shared" si="1"/>
        <v>qua.</v>
      </c>
      <c r="E12" s="20"/>
      <c r="F12" s="22"/>
      <c r="G12" s="14">
        <f t="shared" si="2"/>
        <v>0</v>
      </c>
    </row>
    <row r="13" ht="15.75" customHeight="1">
      <c r="A13" s="1"/>
      <c r="B13" s="1"/>
      <c r="C13" s="21">
        <v>46366.0</v>
      </c>
      <c r="D13" s="2" t="str">
        <f t="shared" si="1"/>
        <v>qui.</v>
      </c>
      <c r="E13" s="20"/>
      <c r="F13" s="22"/>
      <c r="G13" s="14">
        <f t="shared" si="2"/>
        <v>0</v>
      </c>
    </row>
    <row r="14" ht="15.75" customHeight="1">
      <c r="A14" s="1"/>
      <c r="B14" s="1"/>
      <c r="C14" s="21">
        <v>46367.0</v>
      </c>
      <c r="D14" s="2" t="str">
        <f t="shared" si="1"/>
        <v>sex.</v>
      </c>
      <c r="E14" s="3"/>
      <c r="F14" s="22"/>
      <c r="G14" s="14">
        <f t="shared" si="2"/>
        <v>0</v>
      </c>
    </row>
    <row r="15" ht="15.75" customHeight="1">
      <c r="A15" s="1"/>
      <c r="B15" s="1"/>
      <c r="C15" s="21">
        <v>46368.0</v>
      </c>
      <c r="D15" s="2" t="str">
        <f t="shared" si="1"/>
        <v>sáb.</v>
      </c>
      <c r="E15" s="20"/>
      <c r="F15" s="22"/>
      <c r="G15" s="14">
        <f t="shared" si="2"/>
        <v>0</v>
      </c>
    </row>
    <row r="16" ht="15.75" customHeight="1">
      <c r="A16" s="1"/>
      <c r="B16" s="1"/>
      <c r="C16" s="21">
        <v>46369.0</v>
      </c>
      <c r="D16" s="2" t="str">
        <f t="shared" si="1"/>
        <v>dom.</v>
      </c>
      <c r="E16" s="20"/>
      <c r="F16" s="22"/>
      <c r="G16" s="14">
        <f t="shared" si="2"/>
        <v>0</v>
      </c>
    </row>
    <row r="17" ht="15.75" customHeight="1">
      <c r="A17" s="1"/>
      <c r="B17" s="1"/>
      <c r="C17" s="21">
        <v>46370.0</v>
      </c>
      <c r="D17" s="2" t="str">
        <f t="shared" si="1"/>
        <v>seg.</v>
      </c>
      <c r="E17" s="20"/>
      <c r="F17" s="22"/>
      <c r="G17" s="14">
        <f t="shared" si="2"/>
        <v>0</v>
      </c>
    </row>
    <row r="18" ht="15.75" customHeight="1">
      <c r="A18" s="1"/>
      <c r="B18" s="1"/>
      <c r="C18" s="21">
        <v>46371.0</v>
      </c>
      <c r="D18" s="2" t="str">
        <f t="shared" si="1"/>
        <v>ter.</v>
      </c>
      <c r="E18" s="20"/>
      <c r="F18" s="22"/>
      <c r="G18" s="14">
        <f t="shared" si="2"/>
        <v>0</v>
      </c>
    </row>
    <row r="19" ht="15.75" customHeight="1">
      <c r="A19" s="1"/>
      <c r="B19" s="1"/>
      <c r="C19" s="21">
        <v>46372.0</v>
      </c>
      <c r="D19" s="2" t="str">
        <f t="shared" si="1"/>
        <v>qua.</v>
      </c>
      <c r="E19" s="20"/>
      <c r="F19" s="22"/>
      <c r="G19" s="14">
        <f t="shared" si="2"/>
        <v>0</v>
      </c>
    </row>
    <row r="20" ht="15.75" customHeight="1">
      <c r="A20" s="1"/>
      <c r="B20" s="1"/>
      <c r="C20" s="21">
        <v>46373.0</v>
      </c>
      <c r="D20" s="2" t="str">
        <f t="shared" si="1"/>
        <v>qui.</v>
      </c>
      <c r="E20" s="20"/>
      <c r="F20" s="22"/>
      <c r="G20" s="14">
        <f t="shared" si="2"/>
        <v>0</v>
      </c>
    </row>
    <row r="21" ht="15.75" customHeight="1">
      <c r="A21" s="1"/>
      <c r="B21" s="1"/>
      <c r="C21" s="21">
        <v>46374.0</v>
      </c>
      <c r="D21" s="2" t="str">
        <f t="shared" si="1"/>
        <v>sex.</v>
      </c>
      <c r="E21" s="20"/>
      <c r="F21" s="22"/>
      <c r="G21" s="14">
        <f t="shared" si="2"/>
        <v>0</v>
      </c>
    </row>
    <row r="22" ht="15.75" customHeight="1">
      <c r="A22" s="1"/>
      <c r="B22" s="1"/>
      <c r="C22" s="21">
        <v>46375.0</v>
      </c>
      <c r="D22" s="2" t="str">
        <f t="shared" si="1"/>
        <v>sáb.</v>
      </c>
      <c r="E22" s="20"/>
      <c r="F22" s="22"/>
      <c r="G22" s="14">
        <f t="shared" si="2"/>
        <v>0</v>
      </c>
    </row>
    <row r="23" ht="15.75" customHeight="1">
      <c r="A23" s="1"/>
      <c r="B23" s="1"/>
      <c r="C23" s="21">
        <v>46376.0</v>
      </c>
      <c r="D23" s="2" t="str">
        <f t="shared" si="1"/>
        <v>dom.</v>
      </c>
      <c r="E23" s="20"/>
      <c r="F23" s="22"/>
      <c r="G23" s="14">
        <f t="shared" si="2"/>
        <v>0</v>
      </c>
    </row>
    <row r="24" ht="15.75" customHeight="1">
      <c r="A24" s="1"/>
      <c r="B24" s="1"/>
      <c r="C24" s="21">
        <v>46377.0</v>
      </c>
      <c r="D24" s="2" t="str">
        <f t="shared" si="1"/>
        <v>seg.</v>
      </c>
      <c r="E24" s="20"/>
      <c r="F24" s="22"/>
      <c r="G24" s="14">
        <f t="shared" si="2"/>
        <v>0</v>
      </c>
    </row>
    <row r="25" ht="15.75" customHeight="1">
      <c r="A25" s="1"/>
      <c r="B25" s="1"/>
      <c r="C25" s="21">
        <v>46378.0</v>
      </c>
      <c r="D25" s="2" t="str">
        <f t="shared" si="1"/>
        <v>ter.</v>
      </c>
      <c r="E25" s="20"/>
      <c r="F25" s="22"/>
      <c r="G25" s="14">
        <f t="shared" si="2"/>
        <v>0</v>
      </c>
    </row>
    <row r="26" ht="15.75" customHeight="1">
      <c r="A26" s="1"/>
      <c r="B26" s="1"/>
      <c r="C26" s="21">
        <v>46379.0</v>
      </c>
      <c r="D26" s="2" t="str">
        <f t="shared" si="1"/>
        <v>qua.</v>
      </c>
      <c r="E26" s="20"/>
      <c r="F26" s="22"/>
      <c r="G26" s="14">
        <f t="shared" si="2"/>
        <v>0</v>
      </c>
    </row>
    <row r="27" ht="15.75" customHeight="1">
      <c r="A27" s="1"/>
      <c r="B27" s="1"/>
      <c r="C27" s="21">
        <v>46380.0</v>
      </c>
      <c r="D27" s="2" t="str">
        <f t="shared" si="1"/>
        <v>qui.</v>
      </c>
      <c r="E27" s="20"/>
      <c r="F27" s="22"/>
      <c r="G27" s="14">
        <f t="shared" si="2"/>
        <v>0</v>
      </c>
    </row>
    <row r="28" ht="15.75" customHeight="1">
      <c r="A28" s="1"/>
      <c r="B28" s="1"/>
      <c r="C28" s="21">
        <v>46381.0</v>
      </c>
      <c r="D28" s="2" t="str">
        <f t="shared" si="1"/>
        <v>sex.</v>
      </c>
      <c r="E28" s="20"/>
      <c r="F28" s="22"/>
      <c r="G28" s="14">
        <f t="shared" si="2"/>
        <v>0</v>
      </c>
    </row>
    <row r="29" ht="15.75" customHeight="1">
      <c r="A29" s="1"/>
      <c r="B29" s="1"/>
      <c r="C29" s="21">
        <v>46382.0</v>
      </c>
      <c r="D29" s="24" t="str">
        <f t="shared" si="1"/>
        <v>sáb.</v>
      </c>
      <c r="E29" s="25"/>
      <c r="F29" s="26"/>
      <c r="G29" s="16">
        <f t="shared" si="2"/>
        <v>0</v>
      </c>
    </row>
    <row r="30" ht="15.75" customHeight="1">
      <c r="A30" s="1"/>
      <c r="B30" s="1"/>
      <c r="C30" s="21">
        <v>46383.0</v>
      </c>
      <c r="D30" s="28" t="str">
        <f t="shared" si="1"/>
        <v>dom.</v>
      </c>
      <c r="E30" s="29"/>
      <c r="F30" s="30"/>
      <c r="G30" s="14">
        <f t="shared" si="2"/>
        <v>0</v>
      </c>
    </row>
    <row r="31" ht="15.75" customHeight="1">
      <c r="A31" s="1"/>
      <c r="B31" s="1"/>
      <c r="C31" s="21">
        <v>46384.0</v>
      </c>
      <c r="D31" s="2" t="str">
        <f t="shared" si="1"/>
        <v>seg.</v>
      </c>
      <c r="E31" s="20"/>
      <c r="F31" s="22"/>
      <c r="G31" s="14">
        <f t="shared" si="2"/>
        <v>0</v>
      </c>
    </row>
    <row r="32" ht="15.75" customHeight="1">
      <c r="A32" s="1"/>
      <c r="B32" s="1"/>
      <c r="C32" s="21">
        <v>46385.0</v>
      </c>
      <c r="D32" s="2" t="str">
        <f t="shared" si="1"/>
        <v>ter.</v>
      </c>
      <c r="E32" s="20"/>
      <c r="F32" s="22"/>
      <c r="G32" s="14">
        <f t="shared" si="2"/>
        <v>0</v>
      </c>
    </row>
    <row r="33" ht="15.75" customHeight="1">
      <c r="A33" s="1"/>
      <c r="B33" s="1"/>
      <c r="C33" s="21">
        <v>46386.0</v>
      </c>
      <c r="D33" s="2" t="str">
        <f t="shared" si="1"/>
        <v>qua.</v>
      </c>
      <c r="E33" s="20"/>
      <c r="F33" s="22"/>
      <c r="G33" s="14">
        <f t="shared" si="2"/>
        <v>0</v>
      </c>
    </row>
    <row r="34" ht="15.75" customHeight="1">
      <c r="A34" s="1"/>
      <c r="B34" s="1"/>
      <c r="C34" s="21">
        <v>46387.0</v>
      </c>
      <c r="D34" s="2" t="str">
        <f t="shared" si="1"/>
        <v>qui.</v>
      </c>
      <c r="E34" s="20"/>
      <c r="F34" s="22"/>
      <c r="G34" s="14">
        <f t="shared" si="2"/>
        <v>0</v>
      </c>
    </row>
    <row r="35" ht="15.75" customHeight="1">
      <c r="E35" s="18">
        <f t="shared" ref="E35:G35" si="3">SUM(E4:E33)</f>
        <v>0</v>
      </c>
      <c r="F35" s="19">
        <f t="shared" si="3"/>
        <v>0</v>
      </c>
      <c r="G35" s="14">
        <f t="shared" si="3"/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35">
    <cfRule type="cellIs" dxfId="0" priority="1" operator="greaterThanOrEqual">
      <formula>0</formula>
    </cfRule>
  </conditionalFormatting>
  <conditionalFormatting sqref="G4:G35">
    <cfRule type="cellIs" dxfId="1" priority="2" operator="lessThan">
      <formula>0</formula>
    </cfRule>
  </conditionalFormatting>
  <conditionalFormatting sqref="G4:G35">
    <cfRule type="cellIs" dxfId="2" priority="3" operator="less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